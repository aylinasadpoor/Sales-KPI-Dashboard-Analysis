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https://d.docs.live.net/e49b0e1eb45ee487/Desktop/"/>
    </mc:Choice>
  </mc:AlternateContent>
  <xr:revisionPtr revIDLastSave="0" documentId="8_{69BEE103-C766-47B6-8081-80021A3A50C2}" xr6:coauthVersionLast="47" xr6:coauthVersionMax="47" xr10:uidLastSave="{00000000-0000-0000-0000-000000000000}"/>
  <bookViews>
    <workbookView xWindow="-108" yWindow="-108" windowWidth="23256" windowHeight="13176" activeTab="2" xr2:uid="{00000000-000D-0000-FFFF-FFFF00000000}"/>
  </bookViews>
  <sheets>
    <sheet name="انالیز ها" sheetId="4" r:id="rId1"/>
    <sheet name="داده ها" sheetId="1" r:id="rId2"/>
    <sheet name="داشبورد" sheetId="3" r:id="rId3"/>
  </sheets>
  <definedNames>
    <definedName name="Slicer_استان">#N/A</definedName>
    <definedName name="Slicer_چارک">#N/A</definedName>
    <definedName name="Slicer_ماه">#N/A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9" i="4" l="1"/>
  <c r="R18" i="4"/>
  <c r="R17" i="4"/>
  <c r="O19" i="4"/>
  <c r="O18" i="4"/>
  <c r="O17" i="4"/>
  <c r="L19" i="4"/>
  <c r="L18" i="4"/>
  <c r="L17" i="4"/>
</calcChain>
</file>

<file path=xl/sharedStrings.xml><?xml version="1.0" encoding="utf-8"?>
<sst xmlns="http://schemas.openxmlformats.org/spreadsheetml/2006/main" count="677" uniqueCount="61">
  <si>
    <t>ماه</t>
  </si>
  <si>
    <t>استان</t>
  </si>
  <si>
    <t>فروش</t>
  </si>
  <si>
    <t>سود</t>
  </si>
  <si>
    <t>هدف فروش</t>
  </si>
  <si>
    <t>مشتری‌ها</t>
  </si>
  <si>
    <t>چارک</t>
  </si>
  <si>
    <t>نرخ تکمیل فروش</t>
  </si>
  <si>
    <t>نرخ تکمیل سود</t>
  </si>
  <si>
    <t>نرخ تکمیل مشتریان</t>
  </si>
  <si>
    <t>بهمن</t>
  </si>
  <si>
    <t>آذر</t>
  </si>
  <si>
    <t>خرداد</t>
  </si>
  <si>
    <t>مهر</t>
  </si>
  <si>
    <t>اردیبهشت</t>
  </si>
  <si>
    <t>اسفند</t>
  </si>
  <si>
    <t>فروردین</t>
  </si>
  <si>
    <t>شهریور</t>
  </si>
  <si>
    <t>تیر</t>
  </si>
  <si>
    <t>دی</t>
  </si>
  <si>
    <t>مرداد</t>
  </si>
  <si>
    <t>آبان</t>
  </si>
  <si>
    <t>اصفهان</t>
  </si>
  <si>
    <t>فارس</t>
  </si>
  <si>
    <t>گیلان</t>
  </si>
  <si>
    <t>آذربایجان شرقی</t>
  </si>
  <si>
    <t>البرز</t>
  </si>
  <si>
    <t>کرمان</t>
  </si>
  <si>
    <t>خراسان رضوی</t>
  </si>
  <si>
    <t>تهران</t>
  </si>
  <si>
    <t>قم</t>
  </si>
  <si>
    <t>مازندران</t>
  </si>
  <si>
    <t>شرکت پارسیان</t>
  </si>
  <si>
    <t>سوپر پلاس</t>
  </si>
  <si>
    <t>فروشگاه خلیج فارس</t>
  </si>
  <si>
    <t>هایپرمارکت وطن</t>
  </si>
  <si>
    <t>فروشگاه دیجی‌نو</t>
  </si>
  <si>
    <t>پخش البرز</t>
  </si>
  <si>
    <t>مجموعه نیکو</t>
  </si>
  <si>
    <t>شرکت توسعه نگار</t>
  </si>
  <si>
    <t>بازرگانی آرمان</t>
  </si>
  <si>
    <t>Q4</t>
  </si>
  <si>
    <t>Q3</t>
  </si>
  <si>
    <t>Q1</t>
  </si>
  <si>
    <t>Q2</t>
  </si>
  <si>
    <t>Sum of فروش</t>
  </si>
  <si>
    <t>Sum of سود</t>
  </si>
  <si>
    <t>Count of مشتری‌ها</t>
  </si>
  <si>
    <t>Values</t>
  </si>
  <si>
    <t>Average of نرخ تکمیل فروش</t>
  </si>
  <si>
    <t>Average of نرخ تکمیل سود</t>
  </si>
  <si>
    <t>Average of نرخ تکمیل مشتریان</t>
  </si>
  <si>
    <t>Row Labels</t>
  </si>
  <si>
    <t>Grand Total</t>
  </si>
  <si>
    <t xml:space="preserve">مقدار </t>
  </si>
  <si>
    <t>واقعیت</t>
  </si>
  <si>
    <t>تکمیل شده</t>
  </si>
  <si>
    <t>باقی مانده</t>
  </si>
  <si>
    <t>مشتری ها</t>
  </si>
  <si>
    <t xml:space="preserve">  فروش</t>
  </si>
  <si>
    <t xml:space="preserve">هدف فروش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</si>
</sst>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_(&quot;$&quot;* \(#,##0\);_(&quot;$&quot;* &quot;-&quot;_);_(@_)"/>
    <numFmt numFmtId="166" formatCode="&quot;$&quot;#,##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1" tint="0.249977111117893"/>
        <bgColor indexed="64"/>
      </patternFill>
    </fill>
    <fill>
      <patternFill patternType="solid">
        <fgColor theme="8" tint="0.39997558519241921"/>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6">
    <xf numFmtId="0" fontId="0" fillId="0" borderId="0" xfId="0"/>
    <xf numFmtId="166" fontId="0" fillId="0" borderId="0" xfId="0" applyNumberFormat="1"/>
    <xf numFmtId="9" fontId="0" fillId="0" borderId="0" xfId="0" applyNumberFormat="1"/>
    <xf numFmtId="2" fontId="0" fillId="0" borderId="0" xfId="0" applyNumberFormat="1"/>
    <xf numFmtId="2" fontId="1" fillId="0" borderId="1" xfId="0" applyNumberFormat="1" applyFont="1" applyBorder="1" applyAlignment="1">
      <alignment horizontal="center" vertical="top"/>
    </xf>
    <xf numFmtId="0" fontId="1" fillId="0" borderId="1" xfId="0" applyFont="1" applyBorder="1" applyAlignment="1">
      <alignment horizontal="center" vertical="top"/>
    </xf>
    <xf numFmtId="166" fontId="1" fillId="0" borderId="1" xfId="0" applyNumberFormat="1" applyFont="1" applyBorder="1" applyAlignment="1">
      <alignment horizontal="center" vertical="top"/>
    </xf>
    <xf numFmtId="9" fontId="1" fillId="0" borderId="1" xfId="0" applyNumberFormat="1" applyFont="1" applyBorder="1" applyAlignment="1">
      <alignment horizontal="center" vertical="top"/>
    </xf>
    <xf numFmtId="0" fontId="1" fillId="0" borderId="1" xfId="0" applyFont="1" applyBorder="1" applyAlignment="1">
      <alignment horizontal="right"/>
    </xf>
    <xf numFmtId="0" fontId="0" fillId="0" borderId="0" xfId="0" applyAlignment="1">
      <alignment horizontal="right"/>
    </xf>
    <xf numFmtId="0" fontId="0" fillId="2" borderId="0" xfId="0" applyFill="1"/>
    <xf numFmtId="0" fontId="0" fillId="0" borderId="0" xfId="0" applyNumberFormat="1"/>
    <xf numFmtId="0" fontId="0" fillId="0" borderId="0" xfId="0" pivotButton="1"/>
    <xf numFmtId="0" fontId="0" fillId="3" borderId="0" xfId="0" applyFill="1" applyAlignment="1">
      <alignment horizontal="right"/>
    </xf>
    <xf numFmtId="0" fontId="0" fillId="3" borderId="0" xfId="0" applyFill="1"/>
    <xf numFmtId="42" fontId="0" fillId="0" borderId="0" xfId="0" applyNumberFormat="1"/>
  </cellXfs>
  <cellStyles count="1">
    <cellStyle name="Normal" xfId="0" builtinId="0"/>
  </cellStyles>
  <dxfs count="11">
    <dxf>
      <alignment horizontal="righ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3" formatCode="0%"/>
      <alignment horizontal="center" vertical="top" textRotation="0" wrapText="0" indent="0" justifyLastLine="0" shrinkToFit="0" readingOrder="0"/>
      <border diagonalUp="0" diagonalDown="0" outline="0">
        <left style="thin">
          <color auto="1"/>
        </left>
        <right style="thin">
          <color auto="1"/>
        </right>
        <top/>
        <bottom/>
      </border>
    </dxf>
    <dxf>
      <numFmt numFmtId="13" formatCode="0%"/>
    </dxf>
    <dxf>
      <numFmt numFmtId="13" formatCode="0%"/>
    </dxf>
    <dxf>
      <numFmt numFmtId="13" formatCode="0%"/>
    </dxf>
    <dxf>
      <numFmt numFmtId="166" formatCode="&quot;$&quot;#,##0"/>
    </dxf>
    <dxf>
      <numFmt numFmtId="166" formatCode="&quot;$&quot;#,##0"/>
    </dxf>
    <dxf>
      <numFmt numFmtId="166" formatCode="&quot;$&quot;#,##0"/>
    </dxf>
    <dxf>
      <numFmt numFmtId="2" formatCode="0.00"/>
    </dxf>
    <dxf>
      <border outline="0">
        <bottom style="thin">
          <color auto="1"/>
        </bottom>
      </border>
    </dxf>
    <dxf>
      <border outline="0">
        <top style="thin">
          <color auto="1"/>
        </top>
      </border>
    </dxf>
  </dxfs>
  <tableStyles count="0" defaultTableStyle="TableStyleMedium9" defaultPivotStyle="PivotStyleLight16"/>
  <colors>
    <mruColors>
      <color rgb="FFB70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[داده_های_تحلیل_فروش.xlsx]انالیز ها!PivotTable6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787980546549329"/>
          <c:y val="0.14260249554367202"/>
          <c:w val="0.50462444032731202"/>
          <c:h val="0.69520260502196585"/>
        </c:manualLayout>
      </c:layout>
      <c:barChart>
        <c:barDir val="bar"/>
        <c:grouping val="clustered"/>
        <c:varyColors val="0"/>
        <c:ser>
          <c:idx val="0"/>
          <c:order val="0"/>
          <c:tx>
            <c:strRef>
              <c:f>'انالیز ها'!$L$3</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'انالیز ها'!$K$4:$K$14</c:f>
              <c:strCache>
                <c:ptCount val="10"/>
                <c:pt idx="0">
                  <c:v>آذربایجان شرقی</c:v>
                </c:pt>
                <c:pt idx="1">
                  <c:v>اصفهان</c:v>
                </c:pt>
                <c:pt idx="2">
                  <c:v>البرز</c:v>
                </c:pt>
                <c:pt idx="3">
                  <c:v>تهران</c:v>
                </c:pt>
                <c:pt idx="4">
                  <c:v>خراسان رضوی</c:v>
                </c:pt>
                <c:pt idx="5">
                  <c:v>فارس</c:v>
                </c:pt>
                <c:pt idx="6">
                  <c:v>قم</c:v>
                </c:pt>
                <c:pt idx="7">
                  <c:v>کرمان</c:v>
                </c:pt>
                <c:pt idx="8">
                  <c:v>گیلان</c:v>
                </c:pt>
                <c:pt idx="9">
                  <c:v>مازندران</c:v>
                </c:pt>
              </c:strCache>
            </c:strRef>
          </c:cat>
          <c:val>
            <c:numRef>
              <c:f>'انالیز ها'!$L$4:$L$14</c:f>
              <c:numCache>
                <c:formatCode>"$"#,##0</c:formatCode>
                <c:ptCount val="10"/>
                <c:pt idx="0">
                  <c:v>3141017388</c:v>
                </c:pt>
                <c:pt idx="1">
                  <c:v>3957777717</c:v>
                </c:pt>
                <c:pt idx="2">
                  <c:v>2760485640</c:v>
                </c:pt>
                <c:pt idx="3">
                  <c:v>1348751478</c:v>
                </c:pt>
                <c:pt idx="4">
                  <c:v>3011801171</c:v>
                </c:pt>
                <c:pt idx="5">
                  <c:v>1314132748</c:v>
                </c:pt>
                <c:pt idx="6">
                  <c:v>2616565528</c:v>
                </c:pt>
                <c:pt idx="7">
                  <c:v>3331547170</c:v>
                </c:pt>
                <c:pt idx="8">
                  <c:v>3663335458</c:v>
                </c:pt>
                <c:pt idx="9">
                  <c:v>4205473580</c:v>
                </c:pt>
              </c:numCache>
            </c:numRef>
          </c:val>
          <c:extLst>
            <c:ext xmlns:c16="http://schemas.microsoft.com/office/drawing/2014/chart" uri="{C3380CC4-5D6E-409C-BE32-E72D297353CC}">
              <c16:uniqueId val="{00000000-0F48-4D33-9023-4E6941C9F3D4}"/>
            </c:ext>
          </c:extLst>
        </c:ser>
        <c:dLbls>
          <c:showLegendKey val="0"/>
          <c:showVal val="0"/>
          <c:showCatName val="0"/>
          <c:showSerName val="0"/>
          <c:showPercent val="0"/>
          <c:showBubbleSize val="0"/>
        </c:dLbls>
        <c:gapWidth val="186"/>
        <c:axId val="1524284895"/>
        <c:axId val="1524278655"/>
      </c:barChart>
      <c:catAx>
        <c:axId val="1524284895"/>
        <c:scaling>
          <c:orientation val="minMax"/>
        </c:scaling>
        <c:delete val="0"/>
        <c:axPos val="r"/>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24278655"/>
        <c:crosses val="autoZero"/>
        <c:auto val="1"/>
        <c:lblAlgn val="ctr"/>
        <c:lblOffset val="100"/>
        <c:noMultiLvlLbl val="0"/>
      </c:catAx>
      <c:valAx>
        <c:axId val="1524278655"/>
        <c:scaling>
          <c:orientation val="maxMin"/>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284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[داده_های_تحلیل_فروش.xlsx]انالیز ها!PivotTable5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3025048409233221E-2"/>
          <c:y val="0.12643678160919541"/>
          <c:w val="0.82028377969341515"/>
          <c:h val="0.41803149606299211"/>
        </c:manualLayout>
      </c:layout>
      <c:barChart>
        <c:barDir val="col"/>
        <c:grouping val="clustered"/>
        <c:varyColors val="0"/>
        <c:ser>
          <c:idx val="0"/>
          <c:order val="0"/>
          <c:tx>
            <c:strRef>
              <c:f>'انالیز ها'!$I$3</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'انالیز ها'!$H$4:$H$16</c:f>
              <c:strCache>
                <c:ptCount val="12"/>
                <c:pt idx="0">
                  <c:v>آبان</c:v>
                </c:pt>
                <c:pt idx="1">
                  <c:v>آذر</c:v>
                </c:pt>
                <c:pt idx="2">
                  <c:v>اردیبهشت</c:v>
                </c:pt>
                <c:pt idx="3">
                  <c:v>اسفند</c:v>
                </c:pt>
                <c:pt idx="4">
                  <c:v>بهمن</c:v>
                </c:pt>
                <c:pt idx="5">
                  <c:v>تیر</c:v>
                </c:pt>
                <c:pt idx="6">
                  <c:v>خرداد</c:v>
                </c:pt>
                <c:pt idx="7">
                  <c:v>دی</c:v>
                </c:pt>
                <c:pt idx="8">
                  <c:v>شهریور</c:v>
                </c:pt>
                <c:pt idx="9">
                  <c:v>فروردین</c:v>
                </c:pt>
                <c:pt idx="10">
                  <c:v>مرداد</c:v>
                </c:pt>
                <c:pt idx="11">
                  <c:v>مهر</c:v>
                </c:pt>
              </c:strCache>
            </c:strRef>
          </c:cat>
          <c:val>
            <c:numRef>
              <c:f>'انالیز ها'!$I$4:$I$16</c:f>
              <c:numCache>
                <c:formatCode>General</c:formatCode>
                <c:ptCount val="12"/>
                <c:pt idx="0">
                  <c:v>15</c:v>
                </c:pt>
                <c:pt idx="1">
                  <c:v>20</c:v>
                </c:pt>
                <c:pt idx="2">
                  <c:v>15</c:v>
                </c:pt>
                <c:pt idx="3">
                  <c:v>9</c:v>
                </c:pt>
                <c:pt idx="4">
                  <c:v>16</c:v>
                </c:pt>
                <c:pt idx="5">
                  <c:v>16</c:v>
                </c:pt>
                <c:pt idx="6">
                  <c:v>9</c:v>
                </c:pt>
                <c:pt idx="7">
                  <c:v>10</c:v>
                </c:pt>
                <c:pt idx="8">
                  <c:v>8</c:v>
                </c:pt>
                <c:pt idx="9">
                  <c:v>13</c:v>
                </c:pt>
                <c:pt idx="10">
                  <c:v>7</c:v>
                </c:pt>
                <c:pt idx="11">
                  <c:v>12</c:v>
                </c:pt>
              </c:numCache>
            </c:numRef>
          </c:val>
          <c:extLst>
            <c:ext xmlns:c16="http://schemas.microsoft.com/office/drawing/2014/chart" uri="{C3380CC4-5D6E-409C-BE32-E72D297353CC}">
              <c16:uniqueId val="{00000000-C884-4220-9EAE-38738260089E}"/>
            </c:ext>
          </c:extLst>
        </c:ser>
        <c:dLbls>
          <c:dLblPos val="outEnd"/>
          <c:showLegendKey val="0"/>
          <c:showVal val="1"/>
          <c:showCatName val="0"/>
          <c:showSerName val="0"/>
          <c:showPercent val="0"/>
          <c:showBubbleSize val="0"/>
        </c:dLbls>
        <c:gapWidth val="219"/>
        <c:overlap val="-27"/>
        <c:axId val="1524280095"/>
        <c:axId val="1524289215"/>
      </c:barChart>
      <c:catAx>
        <c:axId val="1524280095"/>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24289215"/>
        <c:crosses val="autoZero"/>
        <c:auto val="1"/>
        <c:lblAlgn val="ctr"/>
        <c:lblOffset val="100"/>
        <c:noMultiLvlLbl val="0"/>
      </c:catAx>
      <c:valAx>
        <c:axId val="1524289215"/>
        <c:scaling>
          <c:orientation val="minMax"/>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4280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[داده_های_تحلیل_فروش.xlsx]انالیز ها!PivotTable4</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rgbClr val="00B0F0"/>
            </a:solidFill>
            <a:round/>
          </a:ln>
          <a:effectLst/>
        </c:spPr>
        <c:marker>
          <c:symbol val="circle"/>
          <c:size val="4"/>
          <c:spPr>
            <a:solidFill>
              <a:schemeClr val="bg1"/>
            </a:solidFill>
            <a:ln w="12700" cap="flat" cmpd="sng" algn="ctr">
              <a:solidFill>
                <a:srgbClr val="00B0F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cmpd="sng" algn="ctr">
            <a:solidFill>
              <a:srgbClr val="B700D0"/>
            </a:solidFill>
            <a:round/>
          </a:ln>
          <a:effectLst/>
        </c:spPr>
        <c:marker>
          <c:symbol val="circle"/>
          <c:size val="4"/>
          <c:spPr>
            <a:solidFill>
              <a:schemeClr val="bg1"/>
            </a:solidFill>
            <a:ln w="12700" cap="flat" cmpd="sng" algn="ctr">
              <a:solidFill>
                <a:srgbClr val="B700D0"/>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'انالیز ها'!$E$3</c:f>
              <c:strCache>
                <c:ptCount val="1"/>
                <c:pt idx="0">
                  <c:v>  فروش</c:v>
                </c:pt>
              </c:strCache>
            </c:strRef>
          </c:tx>
          <c:spPr>
            <a:ln w="22225" cap="rnd" cmpd="sng" algn="ctr">
              <a:solidFill>
                <a:srgbClr val="00B0F0"/>
              </a:solidFill>
              <a:round/>
            </a:ln>
            <a:effectLst/>
          </c:spPr>
          <c:marker>
            <c:symbol val="circle"/>
            <c:size val="4"/>
            <c:spPr>
              <a:solidFill>
                <a:schemeClr val="bg1"/>
              </a:solidFill>
              <a:ln w="12700" cap="flat" cmpd="sng" algn="ctr">
                <a:solidFill>
                  <a:srgbClr val="00B0F0"/>
                </a:solidFill>
                <a:round/>
              </a:ln>
              <a:effectLst/>
            </c:spPr>
          </c:marker>
          <c:cat>
            <c:strRef>
              <c:f>'انالیز ها'!$D$4:$D$16</c:f>
              <c:strCache>
                <c:ptCount val="12"/>
                <c:pt idx="0">
                  <c:v>آبان</c:v>
                </c:pt>
                <c:pt idx="1">
                  <c:v>آذر</c:v>
                </c:pt>
                <c:pt idx="2">
                  <c:v>اردیبهشت</c:v>
                </c:pt>
                <c:pt idx="3">
                  <c:v>اسفند</c:v>
                </c:pt>
                <c:pt idx="4">
                  <c:v>بهمن</c:v>
                </c:pt>
                <c:pt idx="5">
                  <c:v>تیر</c:v>
                </c:pt>
                <c:pt idx="6">
                  <c:v>خرداد</c:v>
                </c:pt>
                <c:pt idx="7">
                  <c:v>دی</c:v>
                </c:pt>
                <c:pt idx="8">
                  <c:v>شهریور</c:v>
                </c:pt>
                <c:pt idx="9">
                  <c:v>فروردین</c:v>
                </c:pt>
                <c:pt idx="10">
                  <c:v>مرداد</c:v>
                </c:pt>
                <c:pt idx="11">
                  <c:v>مهر</c:v>
                </c:pt>
              </c:strCache>
            </c:strRef>
          </c:cat>
          <c:val>
            <c:numRef>
              <c:f>'انالیز ها'!$E$4:$E$16</c:f>
              <c:numCache>
                <c:formatCode>"$"#,##0</c:formatCode>
                <c:ptCount val="12"/>
                <c:pt idx="0">
                  <c:v>17737154152</c:v>
                </c:pt>
                <c:pt idx="1">
                  <c:v>23559544582</c:v>
                </c:pt>
                <c:pt idx="2">
                  <c:v>19154574426</c:v>
                </c:pt>
                <c:pt idx="3">
                  <c:v>10282615451</c:v>
                </c:pt>
                <c:pt idx="4">
                  <c:v>17454417196</c:v>
                </c:pt>
                <c:pt idx="5">
                  <c:v>17953035210</c:v>
                </c:pt>
                <c:pt idx="6">
                  <c:v>9732928063</c:v>
                </c:pt>
                <c:pt idx="7">
                  <c:v>9952809744</c:v>
                </c:pt>
                <c:pt idx="8">
                  <c:v>9947095687</c:v>
                </c:pt>
                <c:pt idx="9">
                  <c:v>15213314144</c:v>
                </c:pt>
                <c:pt idx="10">
                  <c:v>9054755414</c:v>
                </c:pt>
                <c:pt idx="11">
                  <c:v>13462994339</c:v>
                </c:pt>
              </c:numCache>
            </c:numRef>
          </c:val>
          <c:smooth val="0"/>
          <c:extLst>
            <c:ext xmlns:c16="http://schemas.microsoft.com/office/drawing/2014/chart" uri="{C3380CC4-5D6E-409C-BE32-E72D297353CC}">
              <c16:uniqueId val="{00000000-C047-42D8-83B5-FB7598014007}"/>
            </c:ext>
          </c:extLst>
        </c:ser>
        <c:ser>
          <c:idx val="1"/>
          <c:order val="1"/>
          <c:tx>
            <c:strRef>
              <c:f>'انالیز ها'!$F$3</c:f>
              <c:strCache>
                <c:ptCount val="1"/>
                <c:pt idx="0">
                  <c:v>هدف فروش </c:v>
                </c:pt>
              </c:strCache>
            </c:strRef>
          </c:tx>
          <c:spPr>
            <a:ln w="22225" cap="rnd" cmpd="sng" algn="ctr">
              <a:solidFill>
                <a:srgbClr val="B700D0"/>
              </a:solidFill>
              <a:round/>
            </a:ln>
            <a:effectLst/>
          </c:spPr>
          <c:marker>
            <c:symbol val="circle"/>
            <c:size val="4"/>
            <c:spPr>
              <a:solidFill>
                <a:schemeClr val="bg1"/>
              </a:solidFill>
              <a:ln w="12700" cap="flat" cmpd="sng" algn="ctr">
                <a:solidFill>
                  <a:srgbClr val="B700D0"/>
                </a:solidFill>
                <a:round/>
              </a:ln>
              <a:effectLst/>
            </c:spPr>
          </c:marker>
          <c:cat>
            <c:strRef>
              <c:f>'انالیز ها'!$D$4:$D$16</c:f>
              <c:strCache>
                <c:ptCount val="12"/>
                <c:pt idx="0">
                  <c:v>آبان</c:v>
                </c:pt>
                <c:pt idx="1">
                  <c:v>آذر</c:v>
                </c:pt>
                <c:pt idx="2">
                  <c:v>اردیبهشت</c:v>
                </c:pt>
                <c:pt idx="3">
                  <c:v>اسفند</c:v>
                </c:pt>
                <c:pt idx="4">
                  <c:v>بهمن</c:v>
                </c:pt>
                <c:pt idx="5">
                  <c:v>تیر</c:v>
                </c:pt>
                <c:pt idx="6">
                  <c:v>خرداد</c:v>
                </c:pt>
                <c:pt idx="7">
                  <c:v>دی</c:v>
                </c:pt>
                <c:pt idx="8">
                  <c:v>شهریور</c:v>
                </c:pt>
                <c:pt idx="9">
                  <c:v>فروردین</c:v>
                </c:pt>
                <c:pt idx="10">
                  <c:v>مرداد</c:v>
                </c:pt>
                <c:pt idx="11">
                  <c:v>مهر</c:v>
                </c:pt>
              </c:strCache>
            </c:strRef>
          </c:cat>
          <c:val>
            <c:numRef>
              <c:f>'انالیز ها'!$F$4:$F$16</c:f>
              <c:numCache>
                <c:formatCode>"$"#,##0</c:formatCode>
                <c:ptCount val="12"/>
                <c:pt idx="0">
                  <c:v>19748331819</c:v>
                </c:pt>
                <c:pt idx="1">
                  <c:v>23482843175</c:v>
                </c:pt>
                <c:pt idx="2">
                  <c:v>19573150352</c:v>
                </c:pt>
                <c:pt idx="3">
                  <c:v>11338060614</c:v>
                </c:pt>
                <c:pt idx="4">
                  <c:v>19930272671</c:v>
                </c:pt>
                <c:pt idx="5">
                  <c:v>19298520032</c:v>
                </c:pt>
                <c:pt idx="6">
                  <c:v>10686324898</c:v>
                </c:pt>
                <c:pt idx="7">
                  <c:v>10619049367</c:v>
                </c:pt>
                <c:pt idx="8">
                  <c:v>10110362317</c:v>
                </c:pt>
                <c:pt idx="9">
                  <c:v>15867535015</c:v>
                </c:pt>
                <c:pt idx="10">
                  <c:v>9433797690</c:v>
                </c:pt>
                <c:pt idx="11">
                  <c:v>14231953613</c:v>
                </c:pt>
              </c:numCache>
            </c:numRef>
          </c:val>
          <c:smooth val="0"/>
          <c:extLst>
            <c:ext xmlns:c16="http://schemas.microsoft.com/office/drawing/2014/chart" uri="{C3380CC4-5D6E-409C-BE32-E72D297353CC}">
              <c16:uniqueId val="{00000001-C047-42D8-83B5-FB759801400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524286815"/>
        <c:axId val="1524282495"/>
      </c:lineChart>
      <c:catAx>
        <c:axId val="1524286815"/>
        <c:scaling>
          <c:orientation val="maxMin"/>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1524282495"/>
        <c:crosses val="autoZero"/>
        <c:auto val="1"/>
        <c:lblAlgn val="ctr"/>
        <c:lblOffset val="100"/>
        <c:noMultiLvlLbl val="0"/>
      </c:catAx>
      <c:valAx>
        <c:axId val="1524282495"/>
        <c:scaling>
          <c:orientation val="minMax"/>
        </c:scaling>
        <c:delete val="0"/>
        <c:axPos val="r"/>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spc="20" baseline="0">
                <a:solidFill>
                  <a:schemeClr val="dk1">
                    <a:lumMod val="65000"/>
                    <a:lumOff val="35000"/>
                  </a:schemeClr>
                </a:solidFill>
                <a:latin typeface="+mn-lt"/>
                <a:ea typeface="+mn-ea"/>
                <a:cs typeface="+mn-cs"/>
              </a:defRPr>
            </a:pPr>
            <a:endParaRPr lang="en-US"/>
          </a:p>
        </c:txPr>
        <c:crossAx val="1524286815"/>
        <c:crosses val="autoZero"/>
        <c:crossBetween val="between"/>
      </c:valAx>
      <c:spPr>
        <a:gradFill>
          <a:gsLst>
            <a:gs pos="100000">
              <a:schemeClr val="lt1">
                <a:lumMod val="95000"/>
              </a:schemeClr>
            </a:gs>
            <a:gs pos="0">
              <a:schemeClr val="lt1"/>
            </a:gs>
          </a:gsLst>
          <a:lin ang="5400000" scaled="0"/>
        </a:gradFill>
        <a:ln>
          <a:noFill/>
        </a:ln>
        <a:effectLst/>
      </c:spPr>
    </c:plotArea>
    <c:legend>
      <c:legendPos val="t"/>
      <c:legendEntry>
        <c:idx val="0"/>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00B0F0"/>
            </a:solidFill>
          </c:spPr>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1-D7E6-467E-95E1-21DA0A419BDE}"/>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D7E6-467E-95E1-21DA0A419BDE}"/>
              </c:ext>
            </c:extLst>
          </c:dPt>
          <c:val>
            <c:numRef>
              <c:f>'انالیز ها'!$L$18:$L$19</c:f>
              <c:numCache>
                <c:formatCode>0%</c:formatCode>
                <c:ptCount val="2"/>
                <c:pt idx="0">
                  <c:v>0.94599999999999962</c:v>
                </c:pt>
                <c:pt idx="1">
                  <c:v>5.4000000000000381E-2</c:v>
                </c:pt>
              </c:numCache>
            </c:numRef>
          </c:val>
          <c:extLst>
            <c:ext xmlns:c16="http://schemas.microsoft.com/office/drawing/2014/chart" uri="{C3380CC4-5D6E-409C-BE32-E72D297353CC}">
              <c16:uniqueId val="{00000004-D7E6-467E-95E1-21DA0A419BDE}"/>
            </c:ext>
          </c:extLst>
        </c:ser>
        <c:dLbls>
          <c:showLegendKey val="0"/>
          <c:showVal val="0"/>
          <c:showCatName val="0"/>
          <c:showSerName val="0"/>
          <c:showPercent val="0"/>
          <c:showBubbleSize val="0"/>
          <c:showLeaderLines val="1"/>
        </c:dLbls>
        <c:firstSliceAng val="360"/>
        <c:holeSize val="6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1-0EC9-4231-A23D-6BB2104D75C8}"/>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0EC9-4231-A23D-6BB2104D75C8}"/>
              </c:ext>
            </c:extLst>
          </c:dPt>
          <c:val>
            <c:numRef>
              <c:f>'انالیز ها'!$O$18:$O$19</c:f>
              <c:numCache>
                <c:formatCode>0%</c:formatCode>
                <c:ptCount val="2"/>
                <c:pt idx="0">
                  <c:v>0.80293333333333383</c:v>
                </c:pt>
                <c:pt idx="1">
                  <c:v>0.19706666666666617</c:v>
                </c:pt>
              </c:numCache>
            </c:numRef>
          </c:val>
          <c:extLst>
            <c:ext xmlns:c16="http://schemas.microsoft.com/office/drawing/2014/chart" uri="{C3380CC4-5D6E-409C-BE32-E72D297353CC}">
              <c16:uniqueId val="{00000004-0EC9-4231-A23D-6BB2104D75C8}"/>
            </c:ext>
          </c:extLst>
        </c:ser>
        <c:dLbls>
          <c:showLegendKey val="0"/>
          <c:showVal val="0"/>
          <c:showCatName val="0"/>
          <c:showSerName val="0"/>
          <c:showPercent val="0"/>
          <c:showBubbleSize val="0"/>
          <c:showLeaderLines val="1"/>
        </c:dLbls>
        <c:firstSliceAng val="360"/>
        <c:holeSize val="66"/>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1-B91C-4886-A2C9-5F890E5FCC76}"/>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B91C-4886-A2C9-5F890E5FCC76}"/>
              </c:ext>
            </c:extLst>
          </c:dPt>
          <c:val>
            <c:numRef>
              <c:f>'انالیز ها'!$R$18:$R$19</c:f>
              <c:numCache>
                <c:formatCode>0%</c:formatCode>
                <c:ptCount val="2"/>
                <c:pt idx="0">
                  <c:v>0.85053333333333325</c:v>
                </c:pt>
                <c:pt idx="1">
                  <c:v>0.14946666666666675</c:v>
                </c:pt>
              </c:numCache>
            </c:numRef>
          </c:val>
          <c:extLst>
            <c:ext xmlns:c16="http://schemas.microsoft.com/office/drawing/2014/chart" uri="{C3380CC4-5D6E-409C-BE32-E72D297353CC}">
              <c16:uniqueId val="{00000004-B91C-4886-A2C9-5F890E5FCC76}"/>
            </c:ext>
          </c:extLst>
        </c:ser>
        <c:dLbls>
          <c:showLegendKey val="0"/>
          <c:showVal val="0"/>
          <c:showCatName val="0"/>
          <c:showSerName val="0"/>
          <c:showPercent val="0"/>
          <c:showBubbleSize val="0"/>
          <c:showLeaderLines val="1"/>
        </c:dLbls>
        <c:firstSliceAng val="360"/>
        <c:holeSize val="6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91440</xdr:colOff>
      <xdr:row>0</xdr:row>
      <xdr:rowOff>167640</xdr:rowOff>
    </xdr:from>
    <xdr:to>
      <xdr:col>4</xdr:col>
      <xdr:colOff>15240</xdr:colOff>
      <xdr:row>26</xdr:row>
      <xdr:rowOff>68580</xdr:rowOff>
    </xdr:to>
    <xdr:sp macro="" textlink="">
      <xdr:nvSpPr>
        <xdr:cNvPr id="2" name="Rectangle 1">
          <a:extLst>
            <a:ext uri="{FF2B5EF4-FFF2-40B4-BE49-F238E27FC236}">
              <a16:creationId xmlns:a16="http://schemas.microsoft.com/office/drawing/2014/main" id="{B31DB1BD-582D-3F2A-A9DC-FD9608CED61A}"/>
            </a:ext>
          </a:extLst>
        </xdr:cNvPr>
        <xdr:cNvSpPr/>
      </xdr:nvSpPr>
      <xdr:spPr>
        <a:xfrm>
          <a:off x="9985232760" y="167640"/>
          <a:ext cx="2362200" cy="465582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fa-IR" sz="1200" b="1">
              <a:solidFill>
                <a:schemeClr val="tx1">
                  <a:lumMod val="95000"/>
                  <a:lumOff val="5000"/>
                </a:schemeClr>
              </a:solidFill>
              <a:cs typeface="B Nazanin" panose="00000400000000000000" pitchFamily="2" charset="-78"/>
            </a:rPr>
            <a:t>اسلایسرها</a:t>
          </a:r>
          <a:endParaRPr lang="en-US" sz="1200" b="1">
            <a:solidFill>
              <a:schemeClr val="tx1">
                <a:lumMod val="95000"/>
                <a:lumOff val="5000"/>
              </a:schemeClr>
            </a:solidFill>
            <a:cs typeface="B Nazanin" panose="00000400000000000000" pitchFamily="2" charset="-78"/>
          </a:endParaRPr>
        </a:p>
      </xdr:txBody>
    </xdr:sp>
    <xdr:clientData/>
  </xdr:twoCellAnchor>
  <xdr:twoCellAnchor>
    <xdr:from>
      <xdr:col>4</xdr:col>
      <xdr:colOff>91440</xdr:colOff>
      <xdr:row>0</xdr:row>
      <xdr:rowOff>167640</xdr:rowOff>
    </xdr:from>
    <xdr:to>
      <xdr:col>22</xdr:col>
      <xdr:colOff>594360</xdr:colOff>
      <xdr:row>26</xdr:row>
      <xdr:rowOff>68580</xdr:rowOff>
    </xdr:to>
    <xdr:sp macro="" textlink="">
      <xdr:nvSpPr>
        <xdr:cNvPr id="3" name="Rectangle 2">
          <a:extLst>
            <a:ext uri="{FF2B5EF4-FFF2-40B4-BE49-F238E27FC236}">
              <a16:creationId xmlns:a16="http://schemas.microsoft.com/office/drawing/2014/main" id="{7B0F18A6-4B64-9393-08B2-354B517F58E8}"/>
            </a:ext>
          </a:extLst>
        </xdr:cNvPr>
        <xdr:cNvSpPr/>
      </xdr:nvSpPr>
      <xdr:spPr>
        <a:xfrm>
          <a:off x="9973680840" y="167640"/>
          <a:ext cx="11475720" cy="465582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4</xdr:col>
      <xdr:colOff>167640</xdr:colOff>
      <xdr:row>1</xdr:row>
      <xdr:rowOff>83820</xdr:rowOff>
    </xdr:from>
    <xdr:to>
      <xdr:col>22</xdr:col>
      <xdr:colOff>106680</xdr:colOff>
      <xdr:row>4</xdr:row>
      <xdr:rowOff>160020</xdr:rowOff>
    </xdr:to>
    <xdr:sp macro="" textlink="">
      <xdr:nvSpPr>
        <xdr:cNvPr id="4" name="Rectangle: Rounded Corners 3">
          <a:extLst>
            <a:ext uri="{FF2B5EF4-FFF2-40B4-BE49-F238E27FC236}">
              <a16:creationId xmlns:a16="http://schemas.microsoft.com/office/drawing/2014/main" id="{0DF90D7C-D148-7163-0641-FC9B69742FF7}"/>
            </a:ext>
          </a:extLst>
        </xdr:cNvPr>
        <xdr:cNvSpPr/>
      </xdr:nvSpPr>
      <xdr:spPr>
        <a:xfrm>
          <a:off x="9974168520" y="266700"/>
          <a:ext cx="10911840" cy="624840"/>
        </a:xfrm>
        <a:prstGeom prst="roundRect">
          <a:avLst>
            <a:gd name="adj" fmla="val 757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fa-IR" sz="3200" b="1">
              <a:solidFill>
                <a:schemeClr val="tx1">
                  <a:lumMod val="95000"/>
                  <a:lumOff val="5000"/>
                </a:schemeClr>
              </a:solidFill>
              <a:cs typeface="B Nazanin" panose="00000400000000000000" pitchFamily="2" charset="-78"/>
            </a:rPr>
            <a:t>داشبورد</a:t>
          </a:r>
          <a:r>
            <a:rPr lang="fa-IR" sz="3200" b="1" baseline="0">
              <a:solidFill>
                <a:schemeClr val="tx1">
                  <a:lumMod val="95000"/>
                  <a:lumOff val="5000"/>
                </a:schemeClr>
              </a:solidFill>
              <a:cs typeface="B Nazanin" panose="00000400000000000000" pitchFamily="2" charset="-78"/>
            </a:rPr>
            <a:t> مدیریتی ۱۴۰۴</a:t>
          </a:r>
          <a:endParaRPr lang="en-US" sz="3200" b="1">
            <a:solidFill>
              <a:schemeClr val="tx1">
                <a:lumMod val="95000"/>
                <a:lumOff val="5000"/>
              </a:schemeClr>
            </a:solidFill>
            <a:cs typeface="B Nazanin" panose="00000400000000000000" pitchFamily="2" charset="-78"/>
          </a:endParaRPr>
        </a:p>
      </xdr:txBody>
    </xdr:sp>
    <xdr:clientData/>
  </xdr:twoCellAnchor>
  <xdr:twoCellAnchor>
    <xdr:from>
      <xdr:col>4</xdr:col>
      <xdr:colOff>167640</xdr:colOff>
      <xdr:row>5</xdr:row>
      <xdr:rowOff>83820</xdr:rowOff>
    </xdr:from>
    <xdr:to>
      <xdr:col>10</xdr:col>
      <xdr:colOff>68580</xdr:colOff>
      <xdr:row>10</xdr:row>
      <xdr:rowOff>167640</xdr:rowOff>
    </xdr:to>
    <xdr:sp macro="" textlink="">
      <xdr:nvSpPr>
        <xdr:cNvPr id="5" name="Rectangle: Rounded Corners 4">
          <a:extLst>
            <a:ext uri="{FF2B5EF4-FFF2-40B4-BE49-F238E27FC236}">
              <a16:creationId xmlns:a16="http://schemas.microsoft.com/office/drawing/2014/main" id="{A06232E1-EBC1-D40E-0830-76C3D2146D04}"/>
            </a:ext>
          </a:extLst>
        </xdr:cNvPr>
        <xdr:cNvSpPr/>
      </xdr:nvSpPr>
      <xdr:spPr>
        <a:xfrm>
          <a:off x="9981521820" y="998220"/>
          <a:ext cx="3558540" cy="998220"/>
        </a:xfrm>
        <a:prstGeom prst="roundRect">
          <a:avLst>
            <a:gd name="adj" fmla="val 757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fa-IR" sz="1200" b="1">
              <a:solidFill>
                <a:schemeClr val="tx1">
                  <a:lumMod val="95000"/>
                  <a:lumOff val="5000"/>
                </a:schemeClr>
              </a:solidFill>
              <a:cs typeface="B Nazanin" panose="00000400000000000000" pitchFamily="2" charset="-78"/>
            </a:rPr>
            <a:t>فروش</a:t>
          </a:r>
          <a:endParaRPr lang="en-US" sz="1400" b="1">
            <a:solidFill>
              <a:schemeClr val="tx1">
                <a:lumMod val="95000"/>
                <a:lumOff val="5000"/>
              </a:schemeClr>
            </a:solidFill>
            <a:cs typeface="B Nazanin" panose="00000400000000000000" pitchFamily="2" charset="-78"/>
          </a:endParaRPr>
        </a:p>
      </xdr:txBody>
    </xdr:sp>
    <xdr:clientData/>
  </xdr:twoCellAnchor>
  <xdr:twoCellAnchor>
    <xdr:from>
      <xdr:col>16</xdr:col>
      <xdr:colOff>182880</xdr:colOff>
      <xdr:row>5</xdr:row>
      <xdr:rowOff>83820</xdr:rowOff>
    </xdr:from>
    <xdr:to>
      <xdr:col>22</xdr:col>
      <xdr:colOff>83820</xdr:colOff>
      <xdr:row>10</xdr:row>
      <xdr:rowOff>175260</xdr:rowOff>
    </xdr:to>
    <xdr:sp macro="" textlink="">
      <xdr:nvSpPr>
        <xdr:cNvPr id="6" name="Rectangle: Rounded Corners 5">
          <a:extLst>
            <a:ext uri="{FF2B5EF4-FFF2-40B4-BE49-F238E27FC236}">
              <a16:creationId xmlns:a16="http://schemas.microsoft.com/office/drawing/2014/main" id="{CBDDE97A-5FBF-C9D9-A34A-1003FCAB07FA}"/>
            </a:ext>
          </a:extLst>
        </xdr:cNvPr>
        <xdr:cNvSpPr/>
      </xdr:nvSpPr>
      <xdr:spPr>
        <a:xfrm>
          <a:off x="9974191380" y="998220"/>
          <a:ext cx="3558540" cy="1005840"/>
        </a:xfrm>
        <a:prstGeom prst="roundRect">
          <a:avLst>
            <a:gd name="adj" fmla="val 757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fa-IR" sz="1200" b="1">
              <a:solidFill>
                <a:schemeClr val="tx1">
                  <a:lumMod val="95000"/>
                  <a:lumOff val="5000"/>
                </a:schemeClr>
              </a:solidFill>
              <a:cs typeface="B Nazanin" panose="00000400000000000000" pitchFamily="2" charset="-78"/>
            </a:rPr>
            <a:t>مشتری</a:t>
          </a:r>
          <a:r>
            <a:rPr lang="fa-IR" sz="1200" b="1" baseline="0">
              <a:solidFill>
                <a:schemeClr val="tx1">
                  <a:lumMod val="95000"/>
                  <a:lumOff val="5000"/>
                </a:schemeClr>
              </a:solidFill>
              <a:cs typeface="B Nazanin" panose="00000400000000000000" pitchFamily="2" charset="-78"/>
            </a:rPr>
            <a:t> ها</a:t>
          </a:r>
          <a:endParaRPr lang="en-US" sz="1200" b="1">
            <a:solidFill>
              <a:schemeClr val="tx1">
                <a:lumMod val="95000"/>
                <a:lumOff val="5000"/>
              </a:schemeClr>
            </a:solidFill>
            <a:cs typeface="B Nazanin" panose="00000400000000000000" pitchFamily="2" charset="-78"/>
          </a:endParaRPr>
        </a:p>
      </xdr:txBody>
    </xdr:sp>
    <xdr:clientData/>
  </xdr:twoCellAnchor>
  <xdr:twoCellAnchor>
    <xdr:from>
      <xdr:col>10</xdr:col>
      <xdr:colOff>182880</xdr:colOff>
      <xdr:row>5</xdr:row>
      <xdr:rowOff>83820</xdr:rowOff>
    </xdr:from>
    <xdr:to>
      <xdr:col>16</xdr:col>
      <xdr:colOff>83820</xdr:colOff>
      <xdr:row>10</xdr:row>
      <xdr:rowOff>175260</xdr:rowOff>
    </xdr:to>
    <xdr:sp macro="" textlink="">
      <xdr:nvSpPr>
        <xdr:cNvPr id="7" name="Rectangle: Rounded Corners 6">
          <a:extLst>
            <a:ext uri="{FF2B5EF4-FFF2-40B4-BE49-F238E27FC236}">
              <a16:creationId xmlns:a16="http://schemas.microsoft.com/office/drawing/2014/main" id="{65497D2D-64EE-2991-B7F2-D965FA37BA88}"/>
            </a:ext>
          </a:extLst>
        </xdr:cNvPr>
        <xdr:cNvSpPr/>
      </xdr:nvSpPr>
      <xdr:spPr>
        <a:xfrm>
          <a:off x="9977848980" y="998220"/>
          <a:ext cx="3558540" cy="1005840"/>
        </a:xfrm>
        <a:prstGeom prst="roundRect">
          <a:avLst>
            <a:gd name="adj" fmla="val 757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fa-IR" sz="1200" b="1">
              <a:solidFill>
                <a:schemeClr val="tx1">
                  <a:lumMod val="95000"/>
                  <a:lumOff val="5000"/>
                </a:schemeClr>
              </a:solidFill>
              <a:cs typeface="B Nazanin" panose="00000400000000000000" pitchFamily="2" charset="-78"/>
            </a:rPr>
            <a:t>سود</a:t>
          </a:r>
          <a:endParaRPr lang="en-US" sz="1200" b="1">
            <a:solidFill>
              <a:schemeClr val="tx1">
                <a:lumMod val="95000"/>
                <a:lumOff val="5000"/>
              </a:schemeClr>
            </a:solidFill>
            <a:cs typeface="B Nazanin" panose="00000400000000000000" pitchFamily="2" charset="-78"/>
          </a:endParaRPr>
        </a:p>
      </xdr:txBody>
    </xdr:sp>
    <xdr:clientData/>
  </xdr:twoCellAnchor>
  <xdr:twoCellAnchor>
    <xdr:from>
      <xdr:col>4</xdr:col>
      <xdr:colOff>167640</xdr:colOff>
      <xdr:row>11</xdr:row>
      <xdr:rowOff>83820</xdr:rowOff>
    </xdr:from>
    <xdr:to>
      <xdr:col>13</xdr:col>
      <xdr:colOff>373380</xdr:colOff>
      <xdr:row>25</xdr:row>
      <xdr:rowOff>129540</xdr:rowOff>
    </xdr:to>
    <xdr:sp macro="" textlink="">
      <xdr:nvSpPr>
        <xdr:cNvPr id="8" name="Rectangle: Rounded Corners 7">
          <a:extLst>
            <a:ext uri="{FF2B5EF4-FFF2-40B4-BE49-F238E27FC236}">
              <a16:creationId xmlns:a16="http://schemas.microsoft.com/office/drawing/2014/main" id="{AD622354-5FD1-92F9-923C-287A33D15BA5}"/>
            </a:ext>
          </a:extLst>
        </xdr:cNvPr>
        <xdr:cNvSpPr/>
      </xdr:nvSpPr>
      <xdr:spPr>
        <a:xfrm>
          <a:off x="9979388220" y="2095500"/>
          <a:ext cx="5692140" cy="2606040"/>
        </a:xfrm>
        <a:prstGeom prst="roundRect">
          <a:avLst>
            <a:gd name="adj" fmla="val 757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fa-IR" sz="1200" b="1">
              <a:solidFill>
                <a:schemeClr val="tx1">
                  <a:lumMod val="95000"/>
                  <a:lumOff val="5000"/>
                </a:schemeClr>
              </a:solidFill>
              <a:cs typeface="B Nazanin" panose="00000400000000000000" pitchFamily="2" charset="-78"/>
            </a:rPr>
            <a:t>فروش</a:t>
          </a:r>
          <a:r>
            <a:rPr lang="fa-IR" sz="1200" b="1" baseline="0">
              <a:solidFill>
                <a:schemeClr val="tx1">
                  <a:lumMod val="95000"/>
                  <a:lumOff val="5000"/>
                </a:schemeClr>
              </a:solidFill>
              <a:cs typeface="B Nazanin" panose="00000400000000000000" pitchFamily="2" charset="-78"/>
            </a:rPr>
            <a:t> در هر ماه</a:t>
          </a:r>
          <a:endParaRPr lang="en-US" sz="1200" b="1">
            <a:solidFill>
              <a:schemeClr val="tx1">
                <a:lumMod val="95000"/>
                <a:lumOff val="5000"/>
              </a:schemeClr>
            </a:solidFill>
            <a:cs typeface="B Nazanin" panose="00000400000000000000" pitchFamily="2" charset="-78"/>
          </a:endParaRPr>
        </a:p>
      </xdr:txBody>
    </xdr:sp>
    <xdr:clientData/>
  </xdr:twoCellAnchor>
  <xdr:twoCellAnchor>
    <xdr:from>
      <xdr:col>13</xdr:col>
      <xdr:colOff>541020</xdr:colOff>
      <xdr:row>18</xdr:row>
      <xdr:rowOff>167640</xdr:rowOff>
    </xdr:from>
    <xdr:to>
      <xdr:col>22</xdr:col>
      <xdr:colOff>99060</xdr:colOff>
      <xdr:row>25</xdr:row>
      <xdr:rowOff>106680</xdr:rowOff>
    </xdr:to>
    <xdr:sp macro="" textlink="">
      <xdr:nvSpPr>
        <xdr:cNvPr id="9" name="Rectangle: Rounded Corners 8">
          <a:extLst>
            <a:ext uri="{FF2B5EF4-FFF2-40B4-BE49-F238E27FC236}">
              <a16:creationId xmlns:a16="http://schemas.microsoft.com/office/drawing/2014/main" id="{3A0AC6DB-7D5F-C4C8-9CBA-1113430F9B04}"/>
            </a:ext>
          </a:extLst>
        </xdr:cNvPr>
        <xdr:cNvSpPr/>
      </xdr:nvSpPr>
      <xdr:spPr>
        <a:xfrm>
          <a:off x="9974176140" y="3459480"/>
          <a:ext cx="5044440" cy="1219200"/>
        </a:xfrm>
        <a:prstGeom prst="roundRect">
          <a:avLst>
            <a:gd name="adj" fmla="val 757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fa-IR" sz="1200" b="1">
              <a:solidFill>
                <a:schemeClr val="tx1">
                  <a:lumMod val="95000"/>
                  <a:lumOff val="5000"/>
                </a:schemeClr>
              </a:solidFill>
              <a:cs typeface="B Nazanin" panose="00000400000000000000" pitchFamily="2" charset="-78"/>
            </a:rPr>
            <a:t>مشتری</a:t>
          </a:r>
          <a:r>
            <a:rPr lang="fa-IR" sz="1200" b="1" baseline="0">
              <a:solidFill>
                <a:schemeClr val="tx1">
                  <a:lumMod val="95000"/>
                  <a:lumOff val="5000"/>
                </a:schemeClr>
              </a:solidFill>
              <a:cs typeface="B Nazanin" panose="00000400000000000000" pitchFamily="2" charset="-78"/>
            </a:rPr>
            <a:t> در هر ماه</a:t>
          </a:r>
          <a:endParaRPr lang="en-US" sz="1200" b="1">
            <a:solidFill>
              <a:schemeClr val="tx1">
                <a:lumMod val="95000"/>
                <a:lumOff val="5000"/>
              </a:schemeClr>
            </a:solidFill>
            <a:cs typeface="B Nazanin" panose="00000400000000000000" pitchFamily="2" charset="-78"/>
          </a:endParaRPr>
        </a:p>
      </xdr:txBody>
    </xdr:sp>
    <xdr:clientData/>
  </xdr:twoCellAnchor>
  <xdr:twoCellAnchor>
    <xdr:from>
      <xdr:col>13</xdr:col>
      <xdr:colOff>525780</xdr:colOff>
      <xdr:row>11</xdr:row>
      <xdr:rowOff>106680</xdr:rowOff>
    </xdr:from>
    <xdr:to>
      <xdr:col>22</xdr:col>
      <xdr:colOff>76200</xdr:colOff>
      <xdr:row>18</xdr:row>
      <xdr:rowOff>76200</xdr:rowOff>
    </xdr:to>
    <xdr:sp macro="" textlink="">
      <xdr:nvSpPr>
        <xdr:cNvPr id="10" name="Rectangle: Rounded Corners 9">
          <a:extLst>
            <a:ext uri="{FF2B5EF4-FFF2-40B4-BE49-F238E27FC236}">
              <a16:creationId xmlns:a16="http://schemas.microsoft.com/office/drawing/2014/main" id="{223B337C-8F16-F348-657A-E39CD3E8432E}"/>
            </a:ext>
          </a:extLst>
        </xdr:cNvPr>
        <xdr:cNvSpPr/>
      </xdr:nvSpPr>
      <xdr:spPr>
        <a:xfrm>
          <a:off x="9974199000" y="2118360"/>
          <a:ext cx="5036820" cy="1249680"/>
        </a:xfrm>
        <a:prstGeom prst="roundRect">
          <a:avLst>
            <a:gd name="adj" fmla="val 7576"/>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rtl="1"/>
          <a:r>
            <a:rPr lang="fa-IR" sz="1200" b="1">
              <a:solidFill>
                <a:schemeClr val="tx1">
                  <a:lumMod val="95000"/>
                  <a:lumOff val="5000"/>
                </a:schemeClr>
              </a:solidFill>
              <a:cs typeface="B Nazanin" panose="00000400000000000000" pitchFamily="2" charset="-78"/>
            </a:rPr>
            <a:t>سود</a:t>
          </a:r>
          <a:r>
            <a:rPr lang="fa-IR" sz="1200" b="1" baseline="0">
              <a:solidFill>
                <a:schemeClr val="tx1">
                  <a:lumMod val="95000"/>
                  <a:lumOff val="5000"/>
                </a:schemeClr>
              </a:solidFill>
              <a:cs typeface="B Nazanin" panose="00000400000000000000" pitchFamily="2" charset="-78"/>
            </a:rPr>
            <a:t> در هر استان</a:t>
          </a:r>
          <a:endParaRPr lang="en-US" sz="1200" b="1">
            <a:solidFill>
              <a:schemeClr val="tx1">
                <a:lumMod val="95000"/>
                <a:lumOff val="5000"/>
              </a:schemeClr>
            </a:solidFill>
            <a:cs typeface="B Nazanin" panose="00000400000000000000" pitchFamily="2" charset="-78"/>
          </a:endParaRPr>
        </a:p>
      </xdr:txBody>
    </xdr:sp>
    <xdr:clientData/>
  </xdr:twoCellAnchor>
  <xdr:twoCellAnchor>
    <xdr:from>
      <xdr:col>13</xdr:col>
      <xdr:colOff>533400</xdr:colOff>
      <xdr:row>11</xdr:row>
      <xdr:rowOff>129540</xdr:rowOff>
    </xdr:from>
    <xdr:to>
      <xdr:col>23</xdr:col>
      <xdr:colOff>175260</xdr:colOff>
      <xdr:row>18</xdr:row>
      <xdr:rowOff>45720</xdr:rowOff>
    </xdr:to>
    <xdr:graphicFrame macro="">
      <xdr:nvGraphicFramePr>
        <xdr:cNvPr id="11" name="Chart 10">
          <a:extLst>
            <a:ext uri="{FF2B5EF4-FFF2-40B4-BE49-F238E27FC236}">
              <a16:creationId xmlns:a16="http://schemas.microsoft.com/office/drawing/2014/main" id="{E62B4529-3CDA-4E74-977A-3C05B0E83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137160</xdr:colOff>
      <xdr:row>20</xdr:row>
      <xdr:rowOff>68580</xdr:rowOff>
    </xdr:from>
    <xdr:to>
      <xdr:col>21</xdr:col>
      <xdr:colOff>594360</xdr:colOff>
      <xdr:row>25</xdr:row>
      <xdr:rowOff>167640</xdr:rowOff>
    </xdr:to>
    <xdr:graphicFrame macro="">
      <xdr:nvGraphicFramePr>
        <xdr:cNvPr id="12" name="Chart 11">
          <a:extLst>
            <a:ext uri="{FF2B5EF4-FFF2-40B4-BE49-F238E27FC236}">
              <a16:creationId xmlns:a16="http://schemas.microsoft.com/office/drawing/2014/main" id="{D39D8B88-2569-4C03-A7B9-05AE824C94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281940</xdr:colOff>
      <xdr:row>12</xdr:row>
      <xdr:rowOff>152400</xdr:rowOff>
    </xdr:from>
    <xdr:to>
      <xdr:col>13</xdr:col>
      <xdr:colOff>327660</xdr:colOff>
      <xdr:row>26</xdr:row>
      <xdr:rowOff>15240</xdr:rowOff>
    </xdr:to>
    <xdr:graphicFrame macro="">
      <xdr:nvGraphicFramePr>
        <xdr:cNvPr id="13" name="Chart 12">
          <a:extLst>
            <a:ext uri="{FF2B5EF4-FFF2-40B4-BE49-F238E27FC236}">
              <a16:creationId xmlns:a16="http://schemas.microsoft.com/office/drawing/2014/main" id="{21627BC5-2357-4CA1-9BD4-81D26861D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144780</xdr:colOff>
      <xdr:row>6</xdr:row>
      <xdr:rowOff>129540</xdr:rowOff>
    </xdr:from>
    <xdr:to>
      <xdr:col>13</xdr:col>
      <xdr:colOff>68580</xdr:colOff>
      <xdr:row>11</xdr:row>
      <xdr:rowOff>30480</xdr:rowOff>
    </xdr:to>
    <xdr:sp macro="" textlink="'انالیز ها'!O17">
      <xdr:nvSpPr>
        <xdr:cNvPr id="14" name="TextBox 13">
          <a:extLst>
            <a:ext uri="{FF2B5EF4-FFF2-40B4-BE49-F238E27FC236}">
              <a16:creationId xmlns:a16="http://schemas.microsoft.com/office/drawing/2014/main" id="{7A713207-2730-9C21-7561-1C36A4232BF9}"/>
            </a:ext>
          </a:extLst>
        </xdr:cNvPr>
        <xdr:cNvSpPr txBox="1"/>
      </xdr:nvSpPr>
      <xdr:spPr>
        <a:xfrm>
          <a:off x="9979693020" y="1226820"/>
          <a:ext cx="1752600" cy="815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1"/>
          <a:fld id="{6B7E7CF0-56B8-41CA-BE14-5511E03D45A7}" type="TxLink">
            <a:rPr lang="en-US" sz="1600" b="1" i="0" u="none" strike="noStrike">
              <a:solidFill>
                <a:srgbClr val="000000"/>
              </a:solidFill>
              <a:latin typeface="Calibri"/>
              <a:ea typeface="Calibri"/>
              <a:cs typeface="Calibri"/>
            </a:rPr>
            <a:pPr marL="0" indent="0" algn="ctr" rtl="1"/>
            <a:t> $29,350,887,878 </a:t>
          </a:fld>
          <a:endParaRPr lang="en-US" sz="1600" b="1" i="0" u="none" strike="noStrike">
            <a:solidFill>
              <a:srgbClr val="000000"/>
            </a:solidFill>
            <a:latin typeface="Calibri"/>
            <a:ea typeface="Calibri"/>
            <a:cs typeface="Calibri"/>
          </a:endParaRPr>
        </a:p>
      </xdr:txBody>
    </xdr:sp>
    <xdr:clientData/>
  </xdr:twoCellAnchor>
  <xdr:twoCellAnchor>
    <xdr:from>
      <xdr:col>4</xdr:col>
      <xdr:colOff>152400</xdr:colOff>
      <xdr:row>5</xdr:row>
      <xdr:rowOff>160020</xdr:rowOff>
    </xdr:from>
    <xdr:to>
      <xdr:col>7</xdr:col>
      <xdr:colOff>76200</xdr:colOff>
      <xdr:row>10</xdr:row>
      <xdr:rowOff>60960</xdr:rowOff>
    </xdr:to>
    <xdr:sp macro="" textlink="'انالیز ها'!L17">
      <xdr:nvSpPr>
        <xdr:cNvPr id="15" name="TextBox 14">
          <a:extLst>
            <a:ext uri="{FF2B5EF4-FFF2-40B4-BE49-F238E27FC236}">
              <a16:creationId xmlns:a16="http://schemas.microsoft.com/office/drawing/2014/main" id="{ADA3FBCB-7BAC-2264-C01C-0D6EC1322BF9}"/>
            </a:ext>
          </a:extLst>
        </xdr:cNvPr>
        <xdr:cNvSpPr txBox="1"/>
      </xdr:nvSpPr>
      <xdr:spPr>
        <a:xfrm>
          <a:off x="9983343000" y="1074420"/>
          <a:ext cx="1752600" cy="815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1"/>
          <a:fld id="{48C41D60-4FB7-43DD-B567-D0C58C55E262}" type="TxLink">
            <a:rPr lang="en-US" sz="1600" b="1" i="0" u="none" strike="noStrike">
              <a:solidFill>
                <a:srgbClr val="000000"/>
              </a:solidFill>
              <a:latin typeface="Calibri"/>
              <a:ea typeface="Calibri"/>
              <a:cs typeface="Calibri"/>
            </a:rPr>
            <a:pPr marL="0" indent="0" algn="ctr" rtl="1"/>
            <a:t> $173,505,238,408 </a:t>
          </a:fld>
          <a:endParaRPr lang="en-US" sz="1600" b="1" i="0" u="none" strike="noStrike">
            <a:solidFill>
              <a:srgbClr val="000000"/>
            </a:solidFill>
            <a:latin typeface="Calibri"/>
            <a:ea typeface="Calibri"/>
            <a:cs typeface="Calibri"/>
          </a:endParaRPr>
        </a:p>
      </xdr:txBody>
    </xdr:sp>
    <xdr:clientData/>
  </xdr:twoCellAnchor>
  <xdr:twoCellAnchor>
    <xdr:from>
      <xdr:col>15</xdr:col>
      <xdr:colOff>480060</xdr:colOff>
      <xdr:row>6</xdr:row>
      <xdr:rowOff>152400</xdr:rowOff>
    </xdr:from>
    <xdr:to>
      <xdr:col>18</xdr:col>
      <xdr:colOff>403860</xdr:colOff>
      <xdr:row>11</xdr:row>
      <xdr:rowOff>53340</xdr:rowOff>
    </xdr:to>
    <xdr:sp macro="" textlink="'انالیز ها'!R17">
      <xdr:nvSpPr>
        <xdr:cNvPr id="16" name="TextBox 15">
          <a:extLst>
            <a:ext uri="{FF2B5EF4-FFF2-40B4-BE49-F238E27FC236}">
              <a16:creationId xmlns:a16="http://schemas.microsoft.com/office/drawing/2014/main" id="{81DEC2A4-9A66-921D-008E-666F4DB349AF}"/>
            </a:ext>
          </a:extLst>
        </xdr:cNvPr>
        <xdr:cNvSpPr txBox="1"/>
      </xdr:nvSpPr>
      <xdr:spPr>
        <a:xfrm>
          <a:off x="9976309740" y="1249680"/>
          <a:ext cx="1752600" cy="815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rtl="1"/>
          <a:fld id="{C277EE26-93F2-4078-9912-AAF08131E203}" type="TxLink">
            <a:rPr lang="en-US" sz="1600" b="1" i="0" u="none" strike="noStrike">
              <a:solidFill>
                <a:srgbClr val="000000"/>
              </a:solidFill>
              <a:latin typeface="Calibri"/>
              <a:ea typeface="Calibri"/>
              <a:cs typeface="Calibri"/>
            </a:rPr>
            <a:pPr marL="0" indent="0" algn="ctr" rtl="1"/>
            <a:t> $150 </a:t>
          </a:fld>
          <a:endParaRPr lang="en-US" sz="1600" b="1" i="0" u="none" strike="noStrike">
            <a:solidFill>
              <a:srgbClr val="000000"/>
            </a:solidFill>
            <a:latin typeface="Calibri"/>
            <a:ea typeface="Calibri"/>
            <a:cs typeface="Calibri"/>
          </a:endParaRPr>
        </a:p>
      </xdr:txBody>
    </xdr:sp>
    <xdr:clientData/>
  </xdr:twoCellAnchor>
  <xdr:twoCellAnchor>
    <xdr:from>
      <xdr:col>7</xdr:col>
      <xdr:colOff>403860</xdr:colOff>
      <xdr:row>5</xdr:row>
      <xdr:rowOff>0</xdr:rowOff>
    </xdr:from>
    <xdr:to>
      <xdr:col>10</xdr:col>
      <xdr:colOff>259080</xdr:colOff>
      <xdr:row>11</xdr:row>
      <xdr:rowOff>7620</xdr:rowOff>
    </xdr:to>
    <xdr:graphicFrame macro="">
      <xdr:nvGraphicFramePr>
        <xdr:cNvPr id="17" name="Chart 16">
          <a:extLst>
            <a:ext uri="{FF2B5EF4-FFF2-40B4-BE49-F238E27FC236}">
              <a16:creationId xmlns:a16="http://schemas.microsoft.com/office/drawing/2014/main" id="{6B521C97-C100-4871-9534-C4B03B92FF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7620</xdr:colOff>
      <xdr:row>5</xdr:row>
      <xdr:rowOff>7620</xdr:rowOff>
    </xdr:from>
    <xdr:to>
      <xdr:col>17</xdr:col>
      <xdr:colOff>175260</xdr:colOff>
      <xdr:row>11</xdr:row>
      <xdr:rowOff>7620</xdr:rowOff>
    </xdr:to>
    <xdr:graphicFrame macro="">
      <xdr:nvGraphicFramePr>
        <xdr:cNvPr id="18" name="Chart 17">
          <a:extLst>
            <a:ext uri="{FF2B5EF4-FFF2-40B4-BE49-F238E27FC236}">
              <a16:creationId xmlns:a16="http://schemas.microsoft.com/office/drawing/2014/main" id="{F5C3203D-4A45-4D3C-B1D4-2DFE35939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274320</xdr:colOff>
      <xdr:row>5</xdr:row>
      <xdr:rowOff>99060</xdr:rowOff>
    </xdr:from>
    <xdr:to>
      <xdr:col>22</xdr:col>
      <xdr:colOff>129540</xdr:colOff>
      <xdr:row>10</xdr:row>
      <xdr:rowOff>175260</xdr:rowOff>
    </xdr:to>
    <xdr:graphicFrame macro="">
      <xdr:nvGraphicFramePr>
        <xdr:cNvPr id="19" name="Chart 18">
          <a:extLst>
            <a:ext uri="{FF2B5EF4-FFF2-40B4-BE49-F238E27FC236}">
              <a16:creationId xmlns:a16="http://schemas.microsoft.com/office/drawing/2014/main" id="{FAFFFA93-6141-4199-AAE8-72779B3911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144780</xdr:colOff>
      <xdr:row>2</xdr:row>
      <xdr:rowOff>60960</xdr:rowOff>
    </xdr:from>
    <xdr:to>
      <xdr:col>3</xdr:col>
      <xdr:colOff>579120</xdr:colOff>
      <xdr:row>10</xdr:row>
      <xdr:rowOff>91440</xdr:rowOff>
    </xdr:to>
    <mc:AlternateContent xmlns:mc="http://schemas.openxmlformats.org/markup-compatibility/2006">
      <mc:Choice xmlns:a14="http://schemas.microsoft.com/office/drawing/2010/main" Requires="a14">
        <xdr:graphicFrame macro="">
          <xdr:nvGraphicFramePr>
            <xdr:cNvPr id="20" name="ماه">
              <a:extLst>
                <a:ext uri="{FF2B5EF4-FFF2-40B4-BE49-F238E27FC236}">
                  <a16:creationId xmlns:a16="http://schemas.microsoft.com/office/drawing/2014/main" id="{CEB72E64-FEAD-48A3-B10A-127EE6B635D4}"/>
                </a:ext>
              </a:extLst>
            </xdr:cNvPr>
            <xdr:cNvGraphicFramePr/>
          </xdr:nvGraphicFramePr>
          <xdr:xfrm>
            <a:off x="0" y="0"/>
            <a:ext cx="0" cy="0"/>
          </xdr:xfrm>
          <a:graphic>
            <a:graphicData uri="http://schemas.microsoft.com/office/drawing/2010/slicer">
              <sle:slicer xmlns:sle="http://schemas.microsoft.com/office/drawing/2010/slicer" name="ماه"/>
            </a:graphicData>
          </a:graphic>
        </xdr:graphicFrame>
      </mc:Choice>
      <mc:Fallback>
        <xdr:sp macro="" textlink="">
          <xdr:nvSpPr>
            <xdr:cNvPr id="0" name=""/>
            <xdr:cNvSpPr>
              <a:spLocks noTextEdit="1"/>
            </xdr:cNvSpPr>
          </xdr:nvSpPr>
          <xdr:spPr>
            <a:xfrm>
              <a:off x="9931591073" y="421476"/>
              <a:ext cx="2253308" cy="14725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175260</xdr:colOff>
      <xdr:row>16</xdr:row>
      <xdr:rowOff>83821</xdr:rowOff>
    </xdr:from>
    <xdr:to>
      <xdr:col>3</xdr:col>
      <xdr:colOff>548640</xdr:colOff>
      <xdr:row>26</xdr:row>
      <xdr:rowOff>22860</xdr:rowOff>
    </xdr:to>
    <mc:AlternateContent xmlns:mc="http://schemas.openxmlformats.org/markup-compatibility/2006">
      <mc:Choice xmlns:a14="http://schemas.microsoft.com/office/drawing/2010/main" Requires="a14">
        <xdr:graphicFrame macro="">
          <xdr:nvGraphicFramePr>
            <xdr:cNvPr id="21" name="استان">
              <a:extLst>
                <a:ext uri="{FF2B5EF4-FFF2-40B4-BE49-F238E27FC236}">
                  <a16:creationId xmlns:a16="http://schemas.microsoft.com/office/drawing/2014/main" id="{4D31E261-1C45-4EF2-8CC8-E3B7F36AC7B2}"/>
                </a:ext>
              </a:extLst>
            </xdr:cNvPr>
            <xdr:cNvGraphicFramePr/>
          </xdr:nvGraphicFramePr>
          <xdr:xfrm>
            <a:off x="0" y="0"/>
            <a:ext cx="0" cy="0"/>
          </xdr:xfrm>
          <a:graphic>
            <a:graphicData uri="http://schemas.microsoft.com/office/drawing/2010/slicer">
              <sle:slicer xmlns:sle="http://schemas.microsoft.com/office/drawing/2010/slicer" name="استان"/>
            </a:graphicData>
          </a:graphic>
        </xdr:graphicFrame>
      </mc:Choice>
      <mc:Fallback>
        <xdr:sp macro="" textlink="">
          <xdr:nvSpPr>
            <xdr:cNvPr id="0" name=""/>
            <xdr:cNvSpPr>
              <a:spLocks noTextEdit="1"/>
            </xdr:cNvSpPr>
          </xdr:nvSpPr>
          <xdr:spPr>
            <a:xfrm>
              <a:off x="9931621553" y="2967950"/>
              <a:ext cx="2192348" cy="1741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175260</xdr:colOff>
      <xdr:row>10</xdr:row>
      <xdr:rowOff>175261</xdr:rowOff>
    </xdr:from>
    <xdr:to>
      <xdr:col>3</xdr:col>
      <xdr:colOff>571500</xdr:colOff>
      <xdr:row>15</xdr:row>
      <xdr:rowOff>160021</xdr:rowOff>
    </xdr:to>
    <mc:AlternateContent xmlns:mc="http://schemas.openxmlformats.org/markup-compatibility/2006">
      <mc:Choice xmlns:a14="http://schemas.microsoft.com/office/drawing/2010/main" Requires="a14">
        <xdr:graphicFrame macro="">
          <xdr:nvGraphicFramePr>
            <xdr:cNvPr id="22" name="چارک">
              <a:extLst>
                <a:ext uri="{FF2B5EF4-FFF2-40B4-BE49-F238E27FC236}">
                  <a16:creationId xmlns:a16="http://schemas.microsoft.com/office/drawing/2014/main" id="{712F6C27-8460-4990-84D4-21E4003DD5F6}"/>
                </a:ext>
              </a:extLst>
            </xdr:cNvPr>
            <xdr:cNvGraphicFramePr/>
          </xdr:nvGraphicFramePr>
          <xdr:xfrm>
            <a:off x="0" y="0"/>
            <a:ext cx="0" cy="0"/>
          </xdr:xfrm>
          <a:graphic>
            <a:graphicData uri="http://schemas.microsoft.com/office/drawing/2010/slicer">
              <sle:slicer xmlns:sle="http://schemas.microsoft.com/office/drawing/2010/slicer" name="چارک"/>
            </a:graphicData>
          </a:graphic>
        </xdr:graphicFrame>
      </mc:Choice>
      <mc:Fallback>
        <xdr:sp macro="" textlink="">
          <xdr:nvSpPr>
            <xdr:cNvPr id="0" name=""/>
            <xdr:cNvSpPr>
              <a:spLocks noTextEdit="1"/>
            </xdr:cNvSpPr>
          </xdr:nvSpPr>
          <xdr:spPr>
            <a:xfrm>
              <a:off x="9931598693" y="1977842"/>
              <a:ext cx="2215208" cy="886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0.27</cdr:x>
      <cdr:y>0.38428</cdr:y>
    </cdr:from>
    <cdr:to>
      <cdr:x>0.74</cdr:x>
      <cdr:y>0.60699</cdr:y>
    </cdr:to>
    <cdr:sp macro="" textlink="'انالیز ها'!$L$18">
      <cdr:nvSpPr>
        <cdr:cNvPr id="2" name="TextBox 1">
          <a:extLst xmlns:a="http://schemas.openxmlformats.org/drawingml/2006/main">
            <a:ext uri="{FF2B5EF4-FFF2-40B4-BE49-F238E27FC236}">
              <a16:creationId xmlns:a16="http://schemas.microsoft.com/office/drawing/2014/main" id="{CDDDB074-3443-E7A7-D470-1F22B91CB403}"/>
            </a:ext>
          </a:extLst>
        </cdr:cNvPr>
        <cdr:cNvSpPr txBox="1"/>
      </cdr:nvSpPr>
      <cdr:spPr>
        <a:xfrm xmlns:a="http://schemas.openxmlformats.org/drawingml/2006/main">
          <a:off x="411480" y="670560"/>
          <a:ext cx="716280" cy="38862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indent="0" algn="ctr"/>
          <a:fld id="{58EEF78A-CEB5-4DEE-AFBE-AC7FF08791B6}" type="TxLink">
            <a:rPr lang="en-US" sz="1400" b="1" i="0" u="none" strike="noStrike" kern="1200">
              <a:solidFill>
                <a:schemeClr val="accent1">
                  <a:lumMod val="75000"/>
                </a:schemeClr>
              </a:solidFill>
              <a:latin typeface="Calibri"/>
              <a:ea typeface="Calibri"/>
              <a:cs typeface="Calibri"/>
            </a:rPr>
            <a:pPr marL="0" indent="0" algn="ctr"/>
            <a:t>95%</a:t>
          </a:fld>
          <a:endParaRPr lang="en-US" sz="1400" b="1" i="0" u="none" strike="noStrike" kern="1200">
            <a:solidFill>
              <a:schemeClr val="accent1">
                <a:lumMod val="75000"/>
              </a:schemeClr>
            </a:solidFill>
            <a:latin typeface="Calibri"/>
            <a:ea typeface="Calibri"/>
            <a:cs typeface="Calibri"/>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0.39035</cdr:x>
      <cdr:y>0.34934</cdr:y>
    </cdr:from>
    <cdr:to>
      <cdr:x>0.65</cdr:x>
      <cdr:y>0.67686</cdr:y>
    </cdr:to>
    <cdr:sp macro="" textlink="'انالیز ها'!$O$18">
      <cdr:nvSpPr>
        <cdr:cNvPr id="2" name="TextBox 1">
          <a:extLst xmlns:a="http://schemas.openxmlformats.org/drawingml/2006/main">
            <a:ext uri="{FF2B5EF4-FFF2-40B4-BE49-F238E27FC236}">
              <a16:creationId xmlns:a16="http://schemas.microsoft.com/office/drawing/2014/main" id="{B1E680FC-D804-DDD4-E127-8F480342176A}"/>
            </a:ext>
          </a:extLst>
        </cdr:cNvPr>
        <cdr:cNvSpPr txBox="1"/>
      </cdr:nvSpPr>
      <cdr:spPr>
        <a:xfrm xmlns:a="http://schemas.openxmlformats.org/drawingml/2006/main">
          <a:off x="773363" y="609600"/>
          <a:ext cx="514417" cy="57150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marL="0" indent="0" algn="ctr"/>
          <a:fld id="{AC563006-5101-4548-B54E-2C83CFFB9A5A}" type="TxLink">
            <a:rPr lang="en-US" sz="1400" b="1" i="0" u="none" strike="noStrike" kern="1200">
              <a:solidFill>
                <a:schemeClr val="accent1">
                  <a:lumMod val="75000"/>
                </a:schemeClr>
              </a:solidFill>
              <a:latin typeface="Calibri"/>
              <a:ea typeface="Calibri"/>
              <a:cs typeface="Calibri"/>
            </a:rPr>
            <a:pPr marL="0" indent="0" algn="ctr"/>
            <a:t>80%</a:t>
          </a:fld>
          <a:endParaRPr lang="en-US" sz="1400" b="1" i="0" u="none" strike="noStrike" kern="1200">
            <a:solidFill>
              <a:schemeClr val="accent1">
                <a:lumMod val="75000"/>
              </a:schemeClr>
            </a:solidFill>
            <a:latin typeface="Calibri"/>
            <a:ea typeface="Calibri"/>
            <a:cs typeface="Calibri"/>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0.4</cdr:x>
      <cdr:y>0.33889</cdr:y>
    </cdr:from>
    <cdr:to>
      <cdr:x>0.63</cdr:x>
      <cdr:y>0.68611</cdr:y>
    </cdr:to>
    <cdr:sp macro="" textlink="">
      <cdr:nvSpPr>
        <cdr:cNvPr id="2" name="TextBox 1">
          <a:extLst xmlns:a="http://schemas.openxmlformats.org/drawingml/2006/main">
            <a:ext uri="{FF2B5EF4-FFF2-40B4-BE49-F238E27FC236}">
              <a16:creationId xmlns:a16="http://schemas.microsoft.com/office/drawing/2014/main" id="{D1D24829-F09B-D7ED-AD7C-BF1002EAF0EF}"/>
            </a:ext>
          </a:extLst>
        </cdr:cNvPr>
        <cdr:cNvSpPr txBox="1"/>
      </cdr:nvSpPr>
      <cdr:spPr>
        <a:xfrm xmlns:a="http://schemas.openxmlformats.org/drawingml/2006/main">
          <a:off x="1828800" y="929640"/>
          <a:ext cx="1051560" cy="952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dr:relSizeAnchor xmlns:cdr="http://schemas.openxmlformats.org/drawingml/2006/chartDrawing">
    <cdr:from>
      <cdr:x>0.35</cdr:x>
      <cdr:y>0.37222</cdr:y>
    </cdr:from>
    <cdr:to>
      <cdr:x>0.64167</cdr:x>
      <cdr:y>0.61944</cdr:y>
    </cdr:to>
    <cdr:sp macro="" textlink="'انالیز ها'!$R$18">
      <cdr:nvSpPr>
        <cdr:cNvPr id="3" name="TextBox 2">
          <a:extLst xmlns:a="http://schemas.openxmlformats.org/drawingml/2006/main">
            <a:ext uri="{FF2B5EF4-FFF2-40B4-BE49-F238E27FC236}">
              <a16:creationId xmlns:a16="http://schemas.microsoft.com/office/drawing/2014/main" id="{F122F048-9C99-5E2F-4050-EECFA0851BDD}"/>
            </a:ext>
          </a:extLst>
        </cdr:cNvPr>
        <cdr:cNvSpPr txBox="1"/>
      </cdr:nvSpPr>
      <cdr:spPr>
        <a:xfrm xmlns:a="http://schemas.openxmlformats.org/drawingml/2006/main">
          <a:off x="1600200" y="1021080"/>
          <a:ext cx="1333500" cy="67818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DFDB1B64-12B6-4100-A8EE-172CF186C839}" type="TxLink">
            <a:rPr lang="en-US" sz="1400" b="1" i="0" u="none" strike="noStrike" kern="1200">
              <a:solidFill>
                <a:schemeClr val="accent1">
                  <a:lumMod val="75000"/>
                </a:schemeClr>
              </a:solidFill>
              <a:latin typeface="Calibri"/>
              <a:ea typeface="Calibri"/>
              <a:cs typeface="Calibri"/>
            </a:rPr>
            <a:pPr algn="ctr"/>
            <a:t>85%</a:t>
          </a:fld>
          <a:endParaRPr lang="en-US" sz="1400" b="1" kern="1200">
            <a:solidFill>
              <a:schemeClr val="accent1">
                <a:lumMod val="75000"/>
              </a:schemeClr>
            </a:solidFill>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lin Asadpoor" refreshedDate="45860.607330555555" createdVersion="8" refreshedVersion="8" minRefreshableVersion="3" recordCount="150" xr:uid="{6DE52FE5-C5BB-4465-8C50-F8074EF9A04E}">
  <cacheSource type="worksheet">
    <worksheetSource name="Table1"/>
  </cacheSource>
  <cacheFields count="10">
    <cacheField name="ماه" numFmtId="2">
      <sharedItems count="12">
        <s v="بهمن"/>
        <s v="آذر"/>
        <s v="خرداد"/>
        <s v="مهر"/>
        <s v="اردیبهشت"/>
        <s v="اسفند"/>
        <s v="فروردین"/>
        <s v="شهریور"/>
        <s v="تیر"/>
        <s v="دی"/>
        <s v="مرداد"/>
        <s v="آبان"/>
      </sharedItems>
    </cacheField>
    <cacheField name="استان" numFmtId="0">
      <sharedItems count="10">
        <s v="اصفهان"/>
        <s v="فارس"/>
        <s v="گیلان"/>
        <s v="آذربایجان شرقی"/>
        <s v="البرز"/>
        <s v="کرمان"/>
        <s v="خراسان رضوی"/>
        <s v="تهران"/>
        <s v="قم"/>
        <s v="مازندران"/>
      </sharedItems>
    </cacheField>
    <cacheField name="فروش" numFmtId="166">
      <sharedItems containsSemiMixedTypes="0" containsString="0" containsNumber="1" containsInteger="1" minValue="406243131" maxValue="2243618695"/>
    </cacheField>
    <cacheField name="سود" numFmtId="166">
      <sharedItems containsSemiMixedTypes="0" containsString="0" containsNumber="1" containsInteger="1" minValue="44984191" maxValue="465885685"/>
    </cacheField>
    <cacheField name="هدف فروش" numFmtId="166">
      <sharedItems containsSemiMixedTypes="0" containsString="0" containsNumber="1" containsInteger="1" minValue="505746077" maxValue="1989652869"/>
    </cacheField>
    <cacheField name="مشتری‌ها" numFmtId="0">
      <sharedItems count="9">
        <s v="شرکت پارسیان"/>
        <s v="سوپر پلاس"/>
        <s v="فروشگاه خلیج فارس"/>
        <s v="هایپرمارکت وطن"/>
        <s v="فروشگاه دیجی‌نو"/>
        <s v="پخش البرز"/>
        <s v="مجموعه نیکو"/>
        <s v="شرکت توسعه نگار"/>
        <s v="بازرگانی آرمان"/>
      </sharedItems>
    </cacheField>
    <cacheField name="چارک" numFmtId="0">
      <sharedItems count="4">
        <s v="Q4"/>
        <s v="Q3"/>
        <s v="Q1"/>
        <s v="Q2"/>
      </sharedItems>
    </cacheField>
    <cacheField name="نرخ تکمیل فروش" numFmtId="9">
      <sharedItems containsSemiMixedTypes="0" containsString="0" containsNumber="1" minValue="0.7" maxValue="1.2"/>
    </cacheField>
    <cacheField name="نرخ تکمیل سود" numFmtId="9">
      <sharedItems containsSemiMixedTypes="0" containsString="0" containsNumber="1" minValue="0.32" maxValue="1.4"/>
    </cacheField>
    <cacheField name="نرخ تکمیل مشتریان" numFmtId="9">
      <sharedItems containsSemiMixedTypes="0" containsString="0" containsNumber="1" minValue="0.6" maxValue="1.1000000000000001"/>
    </cacheField>
  </cacheFields>
  <extLst>
    <ext xmlns:x14="http://schemas.microsoft.com/office/spreadsheetml/2009/9/main" uri="{725AE2AE-9491-48be-B2B4-4EB974FC3084}">
      <x14:pivotCacheDefinition pivotCacheId="20328109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x v="0"/>
    <x v="0"/>
    <n v="896976775"/>
    <n v="93035729"/>
    <n v="1090620971"/>
    <x v="0"/>
    <x v="0"/>
    <n v="0.82"/>
    <n v="0.43"/>
    <n v="0.94"/>
  </r>
  <r>
    <x v="1"/>
    <x v="0"/>
    <n v="406243131"/>
    <n v="47598880"/>
    <n v="568252793"/>
    <x v="1"/>
    <x v="1"/>
    <n v="0.71"/>
    <n v="0.42"/>
    <n v="0.9"/>
  </r>
  <r>
    <x v="1"/>
    <x v="1"/>
    <n v="1135047319"/>
    <n v="204507339"/>
    <n v="1400911954"/>
    <x v="2"/>
    <x v="1"/>
    <n v="0.81"/>
    <n v="0.73"/>
    <n v="0.97"/>
  </r>
  <r>
    <x v="2"/>
    <x v="2"/>
    <n v="852965977"/>
    <n v="207037209"/>
    <n v="1096724164"/>
    <x v="3"/>
    <x v="2"/>
    <n v="0.78"/>
    <n v="0.94"/>
    <n v="0.65"/>
  </r>
  <r>
    <x v="3"/>
    <x v="0"/>
    <n v="1240946892"/>
    <n v="269548316"/>
    <n v="1238639288"/>
    <x v="3"/>
    <x v="1"/>
    <n v="1"/>
    <n v="1.0900000000000001"/>
    <n v="0.83"/>
  </r>
  <r>
    <x v="4"/>
    <x v="2"/>
    <n v="1426924499"/>
    <n v="266647620"/>
    <n v="1685498232"/>
    <x v="4"/>
    <x v="2"/>
    <n v="0.85"/>
    <n v="0.79"/>
    <n v="0.89"/>
  </r>
  <r>
    <x v="5"/>
    <x v="0"/>
    <n v="1562824809"/>
    <n v="201910641"/>
    <n v="1920052172"/>
    <x v="0"/>
    <x v="0"/>
    <n v="0.81"/>
    <n v="0.53"/>
    <n v="1.02"/>
  </r>
  <r>
    <x v="4"/>
    <x v="2"/>
    <n v="1499985134"/>
    <n v="213030094"/>
    <n v="1473691209"/>
    <x v="5"/>
    <x v="2"/>
    <n v="1.02"/>
    <n v="0.72"/>
    <n v="0.77"/>
  </r>
  <r>
    <x v="0"/>
    <x v="3"/>
    <n v="1839720974"/>
    <n v="314231294"/>
    <n v="1808098873"/>
    <x v="4"/>
    <x v="0"/>
    <n v="1.02"/>
    <n v="0.87"/>
    <n v="0.68"/>
  </r>
  <r>
    <x v="3"/>
    <x v="3"/>
    <n v="1012726435"/>
    <n v="226126446"/>
    <n v="971619987"/>
    <x v="2"/>
    <x v="1"/>
    <n v="1.04"/>
    <n v="1.1599999999999999"/>
    <n v="0.63"/>
  </r>
  <r>
    <x v="6"/>
    <x v="4"/>
    <n v="788053771"/>
    <n v="185376363"/>
    <n v="1074969167"/>
    <x v="1"/>
    <x v="2"/>
    <n v="0.73"/>
    <n v="0.86"/>
    <n v="1.04"/>
  </r>
  <r>
    <x v="7"/>
    <x v="1"/>
    <n v="1541719079"/>
    <n v="291824015"/>
    <n v="1349613032"/>
    <x v="6"/>
    <x v="3"/>
    <n v="1.1399999999999999"/>
    <n v="1.08"/>
    <n v="0.73"/>
  </r>
  <r>
    <x v="8"/>
    <x v="5"/>
    <n v="1142461807"/>
    <n v="174606722"/>
    <n v="1064233310"/>
    <x v="2"/>
    <x v="3"/>
    <n v="1.07"/>
    <n v="0.82"/>
    <n v="0.8"/>
  </r>
  <r>
    <x v="8"/>
    <x v="6"/>
    <n v="1162773071"/>
    <n v="102335406"/>
    <n v="1559817199"/>
    <x v="2"/>
    <x v="3"/>
    <n v="0.75"/>
    <n v="0.33"/>
    <n v="0.67"/>
  </r>
  <r>
    <x v="2"/>
    <x v="2"/>
    <n v="1181464355"/>
    <n v="294587072"/>
    <n v="1326281506"/>
    <x v="4"/>
    <x v="2"/>
    <n v="0.89"/>
    <n v="1.1100000000000001"/>
    <n v="0.72"/>
  </r>
  <r>
    <x v="1"/>
    <x v="7"/>
    <n v="2243618695"/>
    <n v="465885685"/>
    <n v="1963961867"/>
    <x v="4"/>
    <x v="1"/>
    <n v="1.1399999999999999"/>
    <n v="1.19"/>
    <n v="0.92"/>
  </r>
  <r>
    <x v="4"/>
    <x v="3"/>
    <n v="778231388"/>
    <n v="188447724"/>
    <n v="839641189"/>
    <x v="1"/>
    <x v="2"/>
    <n v="0.93"/>
    <n v="1.1200000000000001"/>
    <n v="0.73"/>
  </r>
  <r>
    <x v="1"/>
    <x v="6"/>
    <n v="827053987"/>
    <n v="108125411"/>
    <n v="728515502"/>
    <x v="2"/>
    <x v="1"/>
    <n v="1.1399999999999999"/>
    <n v="0.74"/>
    <n v="0.85"/>
  </r>
  <r>
    <x v="8"/>
    <x v="6"/>
    <n v="821253239"/>
    <n v="174406677"/>
    <n v="846923914"/>
    <x v="3"/>
    <x v="3"/>
    <n v="0.97"/>
    <n v="1.03"/>
    <n v="1.06"/>
  </r>
  <r>
    <x v="9"/>
    <x v="4"/>
    <n v="409584609"/>
    <n v="58040895"/>
    <n v="541825985"/>
    <x v="6"/>
    <x v="0"/>
    <n v="0.76"/>
    <n v="0.54"/>
    <n v="0.72"/>
  </r>
  <r>
    <x v="8"/>
    <x v="8"/>
    <n v="729047779"/>
    <n v="159460212"/>
    <n v="683939380"/>
    <x v="4"/>
    <x v="3"/>
    <n v="1.07"/>
    <n v="1.17"/>
    <n v="0.86"/>
  </r>
  <r>
    <x v="2"/>
    <x v="6"/>
    <n v="1315249926"/>
    <n v="223203888"/>
    <n v="1680694232"/>
    <x v="6"/>
    <x v="2"/>
    <n v="0.78"/>
    <n v="0.66"/>
    <n v="0.81"/>
  </r>
  <r>
    <x v="8"/>
    <x v="5"/>
    <n v="1051875875"/>
    <n v="204260392"/>
    <n v="1169405645"/>
    <x v="7"/>
    <x v="3"/>
    <n v="0.9"/>
    <n v="0.87"/>
    <n v="0.82"/>
  </r>
  <r>
    <x v="1"/>
    <x v="9"/>
    <n v="838647044"/>
    <n v="115292621"/>
    <n v="1032373262"/>
    <x v="4"/>
    <x v="1"/>
    <n v="0.81"/>
    <n v="0.56000000000000005"/>
    <n v="0.88"/>
  </r>
  <r>
    <x v="9"/>
    <x v="1"/>
    <n v="687637253"/>
    <n v="61893225"/>
    <n v="652456491"/>
    <x v="0"/>
    <x v="0"/>
    <n v="1.05"/>
    <n v="0.47"/>
    <n v="1.05"/>
  </r>
  <r>
    <x v="7"/>
    <x v="0"/>
    <n v="848563464"/>
    <n v="137908928"/>
    <n v="1011111062"/>
    <x v="2"/>
    <x v="3"/>
    <n v="0.84"/>
    <n v="0.68"/>
    <n v="0.66"/>
  </r>
  <r>
    <x v="9"/>
    <x v="8"/>
    <n v="1116157668"/>
    <n v="242512587"/>
    <n v="1021832596"/>
    <x v="6"/>
    <x v="0"/>
    <n v="1.0900000000000001"/>
    <n v="1.19"/>
    <n v="0.64"/>
  </r>
  <r>
    <x v="0"/>
    <x v="2"/>
    <n v="1276490391"/>
    <n v="289574713"/>
    <n v="1409628168"/>
    <x v="3"/>
    <x v="0"/>
    <n v="0.91"/>
    <n v="1.03"/>
    <n v="0.93"/>
  </r>
  <r>
    <x v="0"/>
    <x v="0"/>
    <n v="1452104202"/>
    <n v="313800773"/>
    <n v="1364622621"/>
    <x v="0"/>
    <x v="0"/>
    <n v="1.06"/>
    <n v="1.1499999999999999"/>
    <n v="0.72"/>
  </r>
  <r>
    <x v="8"/>
    <x v="5"/>
    <n v="729699300"/>
    <n v="92929157"/>
    <n v="801039194"/>
    <x v="6"/>
    <x v="3"/>
    <n v="0.91"/>
    <n v="0.57999999999999996"/>
    <n v="1.04"/>
  </r>
  <r>
    <x v="4"/>
    <x v="9"/>
    <n v="515145543"/>
    <n v="128723548"/>
    <n v="710257394"/>
    <x v="2"/>
    <x v="2"/>
    <n v="0.73"/>
    <n v="0.91"/>
    <n v="1.08"/>
  </r>
  <r>
    <x v="8"/>
    <x v="6"/>
    <n v="1451379952"/>
    <n v="329449558"/>
    <n v="1542906379"/>
    <x v="1"/>
    <x v="3"/>
    <n v="0.94"/>
    <n v="1.07"/>
    <n v="0.68"/>
  </r>
  <r>
    <x v="6"/>
    <x v="2"/>
    <n v="1244660229"/>
    <n v="246966174"/>
    <n v="1477123037"/>
    <x v="5"/>
    <x v="2"/>
    <n v="0.84"/>
    <n v="0.84"/>
    <n v="1.1000000000000001"/>
  </r>
  <r>
    <x v="1"/>
    <x v="9"/>
    <n v="770137858"/>
    <n v="188437787"/>
    <n v="907802566"/>
    <x v="8"/>
    <x v="1"/>
    <n v="0.85"/>
    <n v="1.04"/>
    <n v="0.97"/>
  </r>
  <r>
    <x v="6"/>
    <x v="4"/>
    <n v="602872362"/>
    <n v="99766070"/>
    <n v="607679841"/>
    <x v="0"/>
    <x v="2"/>
    <n v="0.99"/>
    <n v="0.82"/>
    <n v="0.68"/>
  </r>
  <r>
    <x v="1"/>
    <x v="0"/>
    <n v="645541924"/>
    <n v="125742615"/>
    <n v="647148436"/>
    <x v="8"/>
    <x v="1"/>
    <n v="1"/>
    <n v="0.97"/>
    <n v="0.8"/>
  </r>
  <r>
    <x v="9"/>
    <x v="1"/>
    <n v="1356097559"/>
    <n v="260036369"/>
    <n v="1830111666"/>
    <x v="0"/>
    <x v="0"/>
    <n v="0.74"/>
    <n v="0.71"/>
    <n v="0.86"/>
  </r>
  <r>
    <x v="10"/>
    <x v="1"/>
    <n v="843279132"/>
    <n v="86224707"/>
    <n v="1012574190"/>
    <x v="3"/>
    <x v="3"/>
    <n v="0.83"/>
    <n v="0.43"/>
    <n v="0.75"/>
  </r>
  <r>
    <x v="7"/>
    <x v="0"/>
    <n v="1499862526"/>
    <n v="263539224"/>
    <n v="1484160659"/>
    <x v="0"/>
    <x v="3"/>
    <n v="1.01"/>
    <n v="0.89"/>
    <n v="0.63"/>
  </r>
  <r>
    <x v="8"/>
    <x v="5"/>
    <n v="915160685"/>
    <n v="210255339"/>
    <n v="784448308"/>
    <x v="5"/>
    <x v="3"/>
    <n v="1.17"/>
    <n v="1.34"/>
    <n v="0.78"/>
  </r>
  <r>
    <x v="2"/>
    <x v="9"/>
    <n v="1156363286"/>
    <n v="286581074"/>
    <n v="1149650611"/>
    <x v="2"/>
    <x v="2"/>
    <n v="1.01"/>
    <n v="1.25"/>
    <n v="0.86"/>
  </r>
  <r>
    <x v="0"/>
    <x v="5"/>
    <n v="1446913634"/>
    <n v="331750649"/>
    <n v="1924616419"/>
    <x v="5"/>
    <x v="0"/>
    <n v="0.75"/>
    <n v="0.86"/>
    <n v="0.65"/>
  </r>
  <r>
    <x v="4"/>
    <x v="5"/>
    <n v="912237862"/>
    <n v="105643567"/>
    <n v="1084863340"/>
    <x v="8"/>
    <x v="2"/>
    <n v="0.84"/>
    <n v="0.49"/>
    <n v="0.7"/>
  </r>
  <r>
    <x v="0"/>
    <x v="3"/>
    <n v="1278887655"/>
    <n v="299754689"/>
    <n v="1549114160"/>
    <x v="2"/>
    <x v="0"/>
    <n v="0.83"/>
    <n v="0.97"/>
    <n v="0.65"/>
  </r>
  <r>
    <x v="3"/>
    <x v="3"/>
    <n v="439989053"/>
    <n v="44984191"/>
    <n v="507614311"/>
    <x v="0"/>
    <x v="1"/>
    <n v="0.87"/>
    <n v="0.44"/>
    <n v="0.68"/>
  </r>
  <r>
    <x v="11"/>
    <x v="5"/>
    <n v="1201418016"/>
    <n v="111481327"/>
    <n v="1704538328"/>
    <x v="1"/>
    <x v="1"/>
    <n v="0.7"/>
    <n v="0.33"/>
    <n v="1.05"/>
  </r>
  <r>
    <x v="1"/>
    <x v="7"/>
    <n v="1709367157"/>
    <n v="261642132"/>
    <n v="1750929768"/>
    <x v="3"/>
    <x v="1"/>
    <n v="0.98"/>
    <n v="0.75"/>
    <n v="0.75"/>
  </r>
  <r>
    <x v="6"/>
    <x v="4"/>
    <n v="1620437863"/>
    <n v="157952044"/>
    <n v="1964727067"/>
    <x v="7"/>
    <x v="2"/>
    <n v="0.82"/>
    <n v="0.4"/>
    <n v="0.88"/>
  </r>
  <r>
    <x v="3"/>
    <x v="8"/>
    <n v="1141802350"/>
    <n v="280832026"/>
    <n v="1008389542"/>
    <x v="8"/>
    <x v="1"/>
    <n v="1.1299999999999999"/>
    <n v="1.39"/>
    <n v="1.03"/>
  </r>
  <r>
    <x v="6"/>
    <x v="6"/>
    <n v="1524108894"/>
    <n v="345806415"/>
    <n v="1384147285"/>
    <x v="3"/>
    <x v="2"/>
    <n v="1.1000000000000001"/>
    <n v="1.25"/>
    <n v="0.73"/>
  </r>
  <r>
    <x v="5"/>
    <x v="0"/>
    <n v="658561131"/>
    <n v="77587544"/>
    <n v="583160453"/>
    <x v="1"/>
    <x v="0"/>
    <n v="1.1299999999999999"/>
    <n v="0.67"/>
    <n v="0.77"/>
  </r>
  <r>
    <x v="8"/>
    <x v="1"/>
    <n v="1527341873"/>
    <n v="207419947"/>
    <n v="1917410477"/>
    <x v="0"/>
    <x v="3"/>
    <n v="0.8"/>
    <n v="0.54"/>
    <n v="1.08"/>
  </r>
  <r>
    <x v="10"/>
    <x v="4"/>
    <n v="1412307640"/>
    <n v="315541159"/>
    <n v="1358302799"/>
    <x v="2"/>
    <x v="3"/>
    <n v="1.04"/>
    <n v="1.1599999999999999"/>
    <n v="1.07"/>
  </r>
  <r>
    <x v="4"/>
    <x v="3"/>
    <n v="2063445690"/>
    <n v="258197476"/>
    <n v="1746806958"/>
    <x v="8"/>
    <x v="2"/>
    <n v="1.18"/>
    <n v="0.74"/>
    <n v="0.9"/>
  </r>
  <r>
    <x v="7"/>
    <x v="4"/>
    <n v="2147986203"/>
    <n v="214067839"/>
    <n v="1801823594"/>
    <x v="1"/>
    <x v="3"/>
    <n v="1.19"/>
    <n v="0.59"/>
    <n v="0.69"/>
  </r>
  <r>
    <x v="6"/>
    <x v="2"/>
    <n v="1879669897"/>
    <n v="322432633"/>
    <n v="1616520442"/>
    <x v="0"/>
    <x v="2"/>
    <n v="1.1599999999999999"/>
    <n v="1"/>
    <n v="1.07"/>
  </r>
  <r>
    <x v="5"/>
    <x v="1"/>
    <n v="1048241347"/>
    <n v="202227146"/>
    <n v="1426204113"/>
    <x v="3"/>
    <x v="0"/>
    <n v="0.73"/>
    <n v="0.71"/>
    <n v="0.91"/>
  </r>
  <r>
    <x v="0"/>
    <x v="0"/>
    <n v="1358058538"/>
    <n v="202930334"/>
    <n v="1589037295"/>
    <x v="5"/>
    <x v="0"/>
    <n v="0.85"/>
    <n v="0.64"/>
    <n v="0.95"/>
  </r>
  <r>
    <x v="1"/>
    <x v="6"/>
    <n v="1448446435"/>
    <n v="209234891"/>
    <n v="1402901631"/>
    <x v="7"/>
    <x v="1"/>
    <n v="1.03"/>
    <n v="0.75"/>
    <n v="1.05"/>
  </r>
  <r>
    <x v="9"/>
    <x v="8"/>
    <n v="1336323678"/>
    <n v="106998113"/>
    <n v="1372039786"/>
    <x v="5"/>
    <x v="0"/>
    <n v="0.97"/>
    <n v="0.39"/>
    <n v="0.7"/>
  </r>
  <r>
    <x v="9"/>
    <x v="8"/>
    <n v="1380008391"/>
    <n v="268903783"/>
    <n v="1498554532"/>
    <x v="3"/>
    <x v="0"/>
    <n v="0.92"/>
    <n v="0.9"/>
    <n v="0.83"/>
  </r>
  <r>
    <x v="5"/>
    <x v="6"/>
    <n v="1062526766"/>
    <n v="199329963"/>
    <n v="1109426664"/>
    <x v="4"/>
    <x v="0"/>
    <n v="0.96"/>
    <n v="0.9"/>
    <n v="0.64"/>
  </r>
  <r>
    <x v="8"/>
    <x v="3"/>
    <n v="717684644"/>
    <n v="63053140"/>
    <n v="927628276"/>
    <x v="7"/>
    <x v="3"/>
    <n v="0.77"/>
    <n v="0.34"/>
    <n v="0.9"/>
  </r>
  <r>
    <x v="4"/>
    <x v="9"/>
    <n v="1829877116"/>
    <n v="369852577"/>
    <n v="1852410862"/>
    <x v="1"/>
    <x v="2"/>
    <n v="0.99"/>
    <n v="1"/>
    <n v="0.84"/>
  </r>
  <r>
    <x v="8"/>
    <x v="6"/>
    <n v="793919298"/>
    <n v="93049718"/>
    <n v="728894474"/>
    <x v="0"/>
    <x v="3"/>
    <n v="1.0900000000000001"/>
    <n v="0.64"/>
    <n v="0.86"/>
  </r>
  <r>
    <x v="6"/>
    <x v="5"/>
    <n v="706026922"/>
    <n v="152671842"/>
    <n v="760615611"/>
    <x v="7"/>
    <x v="2"/>
    <n v="0.93"/>
    <n v="1"/>
    <n v="0.86"/>
  </r>
  <r>
    <x v="1"/>
    <x v="8"/>
    <n v="1459594779"/>
    <n v="295241830"/>
    <n v="1450419194"/>
    <x v="3"/>
    <x v="1"/>
    <n v="1.01"/>
    <n v="1.02"/>
    <n v="0.81"/>
  </r>
  <r>
    <x v="1"/>
    <x v="9"/>
    <n v="1405456911"/>
    <n v="292056832"/>
    <n v="1519355588"/>
    <x v="8"/>
    <x v="1"/>
    <n v="0.93"/>
    <n v="0.96"/>
    <n v="0.74"/>
  </r>
  <r>
    <x v="1"/>
    <x v="9"/>
    <n v="1002448627"/>
    <n v="201795541"/>
    <n v="1089693527"/>
    <x v="7"/>
    <x v="1"/>
    <n v="0.92"/>
    <n v="0.93"/>
    <n v="0.73"/>
  </r>
  <r>
    <x v="7"/>
    <x v="5"/>
    <n v="618127009"/>
    <n v="89700118"/>
    <n v="797156035"/>
    <x v="4"/>
    <x v="3"/>
    <n v="0.78"/>
    <n v="0.56000000000000005"/>
    <n v="0.95"/>
  </r>
  <r>
    <x v="4"/>
    <x v="2"/>
    <n v="1175825972"/>
    <n v="177175362"/>
    <n v="1210562369"/>
    <x v="1"/>
    <x v="2"/>
    <n v="0.97"/>
    <n v="0.73"/>
    <n v="1.01"/>
  </r>
  <r>
    <x v="3"/>
    <x v="8"/>
    <n v="1545624984"/>
    <n v="125199231"/>
    <n v="1736285615"/>
    <x v="0"/>
    <x v="1"/>
    <n v="0.89"/>
    <n v="0.36"/>
    <n v="0.75"/>
  </r>
  <r>
    <x v="3"/>
    <x v="2"/>
    <n v="1839980948"/>
    <n v="428030957"/>
    <n v="1672810192"/>
    <x v="2"/>
    <x v="1"/>
    <n v="1.1000000000000001"/>
    <n v="1.28"/>
    <n v="0.71"/>
  </r>
  <r>
    <x v="3"/>
    <x v="9"/>
    <n v="1158922448"/>
    <n v="226516167"/>
    <n v="1335064486"/>
    <x v="0"/>
    <x v="1"/>
    <n v="0.87"/>
    <n v="0.85"/>
    <n v="0.96"/>
  </r>
  <r>
    <x v="11"/>
    <x v="6"/>
    <n v="643529354"/>
    <n v="116235412"/>
    <n v="557910012"/>
    <x v="2"/>
    <x v="1"/>
    <n v="1.1499999999999999"/>
    <n v="1.04"/>
    <n v="0.61"/>
  </r>
  <r>
    <x v="0"/>
    <x v="2"/>
    <n v="1179566410"/>
    <n v="146533493"/>
    <n v="1491489870"/>
    <x v="8"/>
    <x v="0"/>
    <n v="0.79"/>
    <n v="0.49"/>
    <n v="0.7"/>
  </r>
  <r>
    <x v="7"/>
    <x v="4"/>
    <n v="1180970839"/>
    <n v="261498981"/>
    <n v="1097551532"/>
    <x v="1"/>
    <x v="3"/>
    <n v="1.08"/>
    <n v="1.19"/>
    <n v="1.01"/>
  </r>
  <r>
    <x v="11"/>
    <x v="7"/>
    <n v="734195373"/>
    <n v="102415304"/>
    <n v="611852976"/>
    <x v="2"/>
    <x v="1"/>
    <n v="1.2"/>
    <n v="0.84"/>
    <n v="0.63"/>
  </r>
  <r>
    <x v="0"/>
    <x v="7"/>
    <n v="824499898"/>
    <n v="68816556"/>
    <n v="1031036848"/>
    <x v="0"/>
    <x v="0"/>
    <n v="0.8"/>
    <n v="0.33"/>
    <n v="0.71"/>
  </r>
  <r>
    <x v="11"/>
    <x v="0"/>
    <n v="1573184608"/>
    <n v="330955056"/>
    <n v="1498652876"/>
    <x v="7"/>
    <x v="1"/>
    <n v="1.05"/>
    <n v="1.1000000000000001"/>
    <n v="0.9"/>
  </r>
  <r>
    <x v="5"/>
    <x v="0"/>
    <n v="880692717"/>
    <n v="74299933"/>
    <n v="1167950995"/>
    <x v="8"/>
    <x v="0"/>
    <n v="0.75"/>
    <n v="0.32"/>
    <n v="0.88"/>
  </r>
  <r>
    <x v="3"/>
    <x v="2"/>
    <n v="660580833"/>
    <n v="146118615"/>
    <n v="663201187"/>
    <x v="7"/>
    <x v="1"/>
    <n v="1"/>
    <n v="1.1000000000000001"/>
    <n v="0.65"/>
  </r>
  <r>
    <x v="10"/>
    <x v="8"/>
    <n v="1871970922"/>
    <n v="260250083"/>
    <n v="1715330896"/>
    <x v="4"/>
    <x v="3"/>
    <n v="1.0900000000000001"/>
    <n v="0.76"/>
    <n v="0.93"/>
  </r>
  <r>
    <x v="4"/>
    <x v="5"/>
    <n v="592954705"/>
    <n v="130329224"/>
    <n v="527170279"/>
    <x v="3"/>
    <x v="2"/>
    <n v="1.1200000000000001"/>
    <n v="1.24"/>
    <n v="0.81"/>
  </r>
  <r>
    <x v="7"/>
    <x v="9"/>
    <n v="1131037085"/>
    <n v="190802503"/>
    <n v="1435201525"/>
    <x v="8"/>
    <x v="3"/>
    <n v="0.79"/>
    <n v="0.66"/>
    <n v="0.73"/>
  </r>
  <r>
    <x v="1"/>
    <x v="9"/>
    <n v="1597397585"/>
    <n v="288682786"/>
    <n v="1435389095"/>
    <x v="6"/>
    <x v="1"/>
    <n v="1.1100000000000001"/>
    <n v="1.01"/>
    <n v="1.02"/>
  </r>
  <r>
    <x v="4"/>
    <x v="3"/>
    <n v="1100713479"/>
    <n v="194688079"/>
    <n v="1023692741"/>
    <x v="6"/>
    <x v="2"/>
    <n v="1.08"/>
    <n v="0.95"/>
    <n v="0.79"/>
  </r>
  <r>
    <x v="6"/>
    <x v="9"/>
    <n v="840429828"/>
    <n v="117929318"/>
    <n v="890498115"/>
    <x v="3"/>
    <x v="2"/>
    <n v="0.94"/>
    <n v="0.66"/>
    <n v="0.77"/>
  </r>
  <r>
    <x v="9"/>
    <x v="3"/>
    <n v="500047426"/>
    <n v="56245130"/>
    <n v="521799349"/>
    <x v="2"/>
    <x v="0"/>
    <n v="0.96"/>
    <n v="0.54"/>
    <n v="0.96"/>
  </r>
  <r>
    <x v="11"/>
    <x v="5"/>
    <n v="1860214112"/>
    <n v="373927608"/>
    <n v="1983072271"/>
    <x v="7"/>
    <x v="1"/>
    <n v="0.94"/>
    <n v="0.94"/>
    <n v="1"/>
  </r>
  <r>
    <x v="4"/>
    <x v="3"/>
    <n v="1431247630"/>
    <n v="189003441"/>
    <n v="1368444803"/>
    <x v="7"/>
    <x v="2"/>
    <n v="1.05"/>
    <n v="0.69"/>
    <n v="0.78"/>
  </r>
  <r>
    <x v="1"/>
    <x v="5"/>
    <n v="1694133818"/>
    <n v="294044098"/>
    <n v="1413762478"/>
    <x v="3"/>
    <x v="1"/>
    <n v="1.2"/>
    <n v="1.04"/>
    <n v="0.95"/>
  </r>
  <r>
    <x v="10"/>
    <x v="3"/>
    <n v="756584602"/>
    <n v="85296841"/>
    <n v="995076677"/>
    <x v="5"/>
    <x v="3"/>
    <n v="0.76"/>
    <n v="0.43"/>
    <n v="0.97"/>
  </r>
  <r>
    <x v="5"/>
    <x v="6"/>
    <n v="1031537217"/>
    <n v="131010318"/>
    <n v="964682477"/>
    <x v="7"/>
    <x v="0"/>
    <n v="1.07"/>
    <n v="0.68"/>
    <n v="1.0900000000000001"/>
  </r>
  <r>
    <x v="1"/>
    <x v="8"/>
    <n v="799144959"/>
    <n v="104178054"/>
    <n v="715878175"/>
    <x v="5"/>
    <x v="1"/>
    <n v="1.1200000000000001"/>
    <n v="0.73"/>
    <n v="0.69"/>
  </r>
  <r>
    <x v="6"/>
    <x v="5"/>
    <n v="787140470"/>
    <n v="70267575"/>
    <n v="1089079101"/>
    <x v="8"/>
    <x v="2"/>
    <n v="0.72"/>
    <n v="0.32"/>
    <n v="0.95"/>
  </r>
  <r>
    <x v="2"/>
    <x v="9"/>
    <n v="519514228"/>
    <n v="83017064"/>
    <n v="526339745"/>
    <x v="4"/>
    <x v="2"/>
    <n v="0.99"/>
    <n v="0.79"/>
    <n v="0.77"/>
  </r>
  <r>
    <x v="6"/>
    <x v="3"/>
    <n v="827738370"/>
    <n v="122604826"/>
    <n v="745000263"/>
    <x v="6"/>
    <x v="2"/>
    <n v="1.1100000000000001"/>
    <n v="0.82"/>
    <n v="0.88"/>
  </r>
  <r>
    <x v="0"/>
    <x v="7"/>
    <n v="907009777"/>
    <n v="218908042"/>
    <n v="820399365"/>
    <x v="8"/>
    <x v="0"/>
    <n v="1.1100000000000001"/>
    <n v="1.33"/>
    <n v="1.0900000000000001"/>
  </r>
  <r>
    <x v="4"/>
    <x v="5"/>
    <n v="1798567413"/>
    <n v="332970799"/>
    <n v="1802057237"/>
    <x v="1"/>
    <x v="2"/>
    <n v="1"/>
    <n v="0.92"/>
    <n v="0.86"/>
  </r>
  <r>
    <x v="11"/>
    <x v="9"/>
    <n v="2107826052"/>
    <n v="278053118"/>
    <n v="1763848103"/>
    <x v="5"/>
    <x v="1"/>
    <n v="1.2"/>
    <n v="0.79"/>
    <n v="0.63"/>
  </r>
  <r>
    <x v="5"/>
    <x v="0"/>
    <n v="1484787919"/>
    <n v="285484305"/>
    <n v="1843283301"/>
    <x v="7"/>
    <x v="0"/>
    <n v="0.81"/>
    <n v="0.77"/>
    <n v="0.71"/>
  </r>
  <r>
    <x v="1"/>
    <x v="0"/>
    <n v="457325333"/>
    <n v="90181396"/>
    <n v="505746077"/>
    <x v="8"/>
    <x v="1"/>
    <n v="0.9"/>
    <n v="0.89"/>
    <n v="0.75"/>
  </r>
  <r>
    <x v="8"/>
    <x v="3"/>
    <n v="1085013351"/>
    <n v="129856618"/>
    <n v="1475024849"/>
    <x v="5"/>
    <x v="3"/>
    <n v="0.74"/>
    <n v="0.44"/>
    <n v="0.99"/>
  </r>
  <r>
    <x v="0"/>
    <x v="8"/>
    <n v="1070173543"/>
    <n v="126513354"/>
    <n v="1412978988"/>
    <x v="7"/>
    <x v="0"/>
    <n v="0.76"/>
    <n v="0.45"/>
    <n v="1.05"/>
  </r>
  <r>
    <x v="2"/>
    <x v="0"/>
    <n v="938791974"/>
    <n v="170069194"/>
    <n v="856316468"/>
    <x v="0"/>
    <x v="2"/>
    <n v="1.1000000000000001"/>
    <n v="0.99"/>
    <n v="1.06"/>
  </r>
  <r>
    <x v="11"/>
    <x v="0"/>
    <n v="1686134100"/>
    <n v="250266895"/>
    <n v="1978924731"/>
    <x v="6"/>
    <x v="1"/>
    <n v="0.85"/>
    <n v="0.63"/>
    <n v="0.85"/>
  </r>
  <r>
    <x v="11"/>
    <x v="9"/>
    <n v="1284553048"/>
    <n v="197108079"/>
    <n v="1784273955"/>
    <x v="4"/>
    <x v="1"/>
    <n v="0.72"/>
    <n v="0.55000000000000004"/>
    <n v="0.9"/>
  </r>
  <r>
    <x v="6"/>
    <x v="0"/>
    <n v="2177873680"/>
    <n v="387190764"/>
    <n v="1948044715"/>
    <x v="7"/>
    <x v="2"/>
    <n v="1.1200000000000001"/>
    <n v="0.99"/>
    <n v="1.1000000000000001"/>
  </r>
  <r>
    <x v="0"/>
    <x v="3"/>
    <n v="819484394"/>
    <n v="156322067"/>
    <n v="876219229"/>
    <x v="0"/>
    <x v="0"/>
    <n v="0.94"/>
    <n v="0.89"/>
    <n v="0.69"/>
  </r>
  <r>
    <x v="9"/>
    <x v="2"/>
    <n v="650708988"/>
    <n v="97228400"/>
    <n v="695941574"/>
    <x v="6"/>
    <x v="0"/>
    <n v="0.94"/>
    <n v="0.7"/>
    <n v="0.93"/>
  </r>
  <r>
    <x v="2"/>
    <x v="4"/>
    <n v="1885662687"/>
    <n v="363252553"/>
    <n v="1989652869"/>
    <x v="1"/>
    <x v="2"/>
    <n v="0.95"/>
    <n v="0.91"/>
    <n v="1"/>
  </r>
  <r>
    <x v="1"/>
    <x v="7"/>
    <n v="590742854"/>
    <n v="79724613"/>
    <n v="689106962"/>
    <x v="6"/>
    <x v="1"/>
    <n v="0.86"/>
    <n v="0.57999999999999996"/>
    <n v="0.8"/>
  </r>
  <r>
    <x v="1"/>
    <x v="7"/>
    <n v="1352761250"/>
    <n v="151359146"/>
    <n v="1492086654"/>
    <x v="2"/>
    <x v="1"/>
    <n v="0.91"/>
    <n v="0.51"/>
    <n v="0.91"/>
  </r>
  <r>
    <x v="11"/>
    <x v="9"/>
    <n v="781130869"/>
    <n v="79888010"/>
    <n v="937137994"/>
    <x v="0"/>
    <x v="1"/>
    <n v="0.83"/>
    <n v="0.43"/>
    <n v="0.82"/>
  </r>
  <r>
    <x v="5"/>
    <x v="9"/>
    <n v="666850277"/>
    <n v="122372482"/>
    <n v="561996648"/>
    <x v="4"/>
    <x v="0"/>
    <n v="1.19"/>
    <n v="1.0900000000000001"/>
    <n v="0.95"/>
  </r>
  <r>
    <x v="10"/>
    <x v="5"/>
    <n v="1524091740"/>
    <n v="180146290"/>
    <n v="1685950875"/>
    <x v="0"/>
    <x v="3"/>
    <n v="0.9"/>
    <n v="0.53"/>
    <n v="0.83"/>
  </r>
  <r>
    <x v="4"/>
    <x v="6"/>
    <n v="1075427881"/>
    <n v="136022519"/>
    <n v="1126767927"/>
    <x v="6"/>
    <x v="2"/>
    <n v="0.95"/>
    <n v="0.6"/>
    <n v="1.0900000000000001"/>
  </r>
  <r>
    <x v="8"/>
    <x v="9"/>
    <n v="722901908"/>
    <n v="171123594"/>
    <n v="810616256"/>
    <x v="2"/>
    <x v="3"/>
    <n v="0.89"/>
    <n v="1.06"/>
    <n v="0.97"/>
  </r>
  <r>
    <x v="2"/>
    <x v="0"/>
    <n v="1210154624"/>
    <n v="258866546"/>
    <n v="1391082067"/>
    <x v="5"/>
    <x v="2"/>
    <n v="0.87"/>
    <n v="0.93"/>
    <n v="1.01"/>
  </r>
  <r>
    <x v="10"/>
    <x v="3"/>
    <n v="756259232"/>
    <n v="122769638"/>
    <n v="819106225"/>
    <x v="6"/>
    <x v="3"/>
    <n v="0.92"/>
    <n v="0.75"/>
    <n v="0.88"/>
  </r>
  <r>
    <x v="1"/>
    <x v="2"/>
    <n v="1351560964"/>
    <n v="333472917"/>
    <n v="1191011599"/>
    <x v="6"/>
    <x v="1"/>
    <n v="1.1299999999999999"/>
    <n v="1.4"/>
    <n v="0.88"/>
  </r>
  <r>
    <x v="8"/>
    <x v="2"/>
    <n v="1268891704"/>
    <n v="253637163"/>
    <n v="1183278460"/>
    <x v="0"/>
    <x v="3"/>
    <n v="1.07"/>
    <n v="1.07"/>
    <n v="0.79"/>
  </r>
  <r>
    <x v="0"/>
    <x v="6"/>
    <n v="442229105"/>
    <n v="107952595"/>
    <n v="579499016"/>
    <x v="6"/>
    <x v="0"/>
    <n v="0.76"/>
    <n v="0.93"/>
    <n v="1.03"/>
  </r>
  <r>
    <x v="11"/>
    <x v="0"/>
    <n v="1048238686"/>
    <n v="109547673"/>
    <n v="1481245579"/>
    <x v="2"/>
    <x v="1"/>
    <n v="0.71"/>
    <n v="0.37"/>
    <n v="1.08"/>
  </r>
  <r>
    <x v="4"/>
    <x v="9"/>
    <n v="1241324990"/>
    <n v="183185016"/>
    <n v="1227054712"/>
    <x v="5"/>
    <x v="2"/>
    <n v="1.01"/>
    <n v="0.75"/>
    <n v="1.02"/>
  </r>
  <r>
    <x v="0"/>
    <x v="5"/>
    <n v="1195836494"/>
    <n v="276076285"/>
    <n v="1180024649"/>
    <x v="1"/>
    <x v="0"/>
    <n v="1.01"/>
    <n v="1.17"/>
    <n v="1.04"/>
  </r>
  <r>
    <x v="6"/>
    <x v="8"/>
    <n v="1019810667"/>
    <n v="241244317"/>
    <n v="1004165262"/>
    <x v="4"/>
    <x v="2"/>
    <n v="1.02"/>
    <n v="1.2"/>
    <n v="0.97"/>
  </r>
  <r>
    <x v="3"/>
    <x v="0"/>
    <n v="1137801454"/>
    <n v="148948716"/>
    <n v="1452792433"/>
    <x v="4"/>
    <x v="1"/>
    <n v="0.78"/>
    <n v="0.51"/>
    <n v="0.62"/>
  </r>
  <r>
    <x v="6"/>
    <x v="3"/>
    <n v="1194491191"/>
    <n v="145146881"/>
    <n v="1304965109"/>
    <x v="3"/>
    <x v="2"/>
    <n v="0.92"/>
    <n v="0.56000000000000005"/>
    <n v="0.88"/>
  </r>
  <r>
    <x v="2"/>
    <x v="6"/>
    <n v="672761006"/>
    <n v="97572231"/>
    <n v="669583236"/>
    <x v="8"/>
    <x v="2"/>
    <n v="1"/>
    <n v="0.73"/>
    <n v="0.72"/>
  </r>
  <r>
    <x v="9"/>
    <x v="6"/>
    <n v="1518556762"/>
    <n v="240124802"/>
    <n v="1490311901"/>
    <x v="7"/>
    <x v="0"/>
    <n v="1.02"/>
    <n v="0.81"/>
    <n v="0.6"/>
  </r>
  <r>
    <x v="11"/>
    <x v="3"/>
    <n v="618469353"/>
    <n v="148859424"/>
    <n v="839250073"/>
    <x v="2"/>
    <x v="1"/>
    <n v="0.74"/>
    <n v="0.89"/>
    <n v="0.75"/>
  </r>
  <r>
    <x v="3"/>
    <x v="3"/>
    <n v="918591318"/>
    <n v="133561204"/>
    <n v="1148801344"/>
    <x v="6"/>
    <x v="1"/>
    <n v="0.8"/>
    <n v="0.57999999999999996"/>
    <n v="0.65"/>
  </r>
  <r>
    <x v="3"/>
    <x v="8"/>
    <n v="1470659883"/>
    <n v="292481077"/>
    <n v="1734399230"/>
    <x v="3"/>
    <x v="1"/>
    <n v="0.85"/>
    <n v="0.84"/>
    <n v="1.0900000000000001"/>
  </r>
  <r>
    <x v="0"/>
    <x v="2"/>
    <n v="508576252"/>
    <n v="99978927"/>
    <n v="517390250"/>
    <x v="5"/>
    <x v="0"/>
    <n v="0.98"/>
    <n v="0.97"/>
    <n v="1.0900000000000001"/>
  </r>
  <r>
    <x v="9"/>
    <x v="9"/>
    <n v="997687410"/>
    <n v="139571043"/>
    <n v="994175487"/>
    <x v="5"/>
    <x v="0"/>
    <n v="1"/>
    <n v="0.7"/>
    <n v="0.69"/>
  </r>
  <r>
    <x v="10"/>
    <x v="6"/>
    <n v="1890262146"/>
    <n v="250494874"/>
    <n v="1847456028"/>
    <x v="4"/>
    <x v="3"/>
    <n v="1.02"/>
    <n v="0.68"/>
    <n v="0.61"/>
  </r>
  <r>
    <x v="7"/>
    <x v="6"/>
    <n v="978829482"/>
    <n v="147446493"/>
    <n v="1133744878"/>
    <x v="4"/>
    <x v="3"/>
    <n v="0.86"/>
    <n v="0.65"/>
    <n v="0.66"/>
  </r>
  <r>
    <x v="1"/>
    <x v="4"/>
    <n v="1824873952"/>
    <n v="403626250"/>
    <n v="1577596047"/>
    <x v="2"/>
    <x v="1"/>
    <n v="1.1599999999999999"/>
    <n v="1.28"/>
    <n v="1.05"/>
  </r>
  <r>
    <x v="11"/>
    <x v="3"/>
    <n v="698125438"/>
    <n v="64786662"/>
    <n v="747325065"/>
    <x v="3"/>
    <x v="1"/>
    <n v="0.93"/>
    <n v="0.43"/>
    <n v="1.08"/>
  </r>
  <r>
    <x v="0"/>
    <x v="2"/>
    <n v="957889154"/>
    <n v="140884109"/>
    <n v="1285495949"/>
    <x v="2"/>
    <x v="0"/>
    <n v="0.75"/>
    <n v="0.55000000000000004"/>
    <n v="0.87"/>
  </r>
  <r>
    <x v="11"/>
    <x v="4"/>
    <n v="1563146634"/>
    <n v="294736574"/>
    <n v="1755333245"/>
    <x v="5"/>
    <x v="1"/>
    <n v="0.89"/>
    <n v="0.84"/>
    <n v="0.65"/>
  </r>
  <r>
    <x v="8"/>
    <x v="9"/>
    <n v="2090607970"/>
    <n v="366774704"/>
    <n v="1830466753"/>
    <x v="0"/>
    <x v="3"/>
    <n v="1.1399999999999999"/>
    <n v="1"/>
    <n v="0.71"/>
  </r>
  <r>
    <x v="4"/>
    <x v="9"/>
    <n v="1712665124"/>
    <n v="177709716"/>
    <n v="1894231100"/>
    <x v="5"/>
    <x v="2"/>
    <n v="0.9"/>
    <n v="0.47"/>
    <n v="0.74"/>
  </r>
  <r>
    <x v="11"/>
    <x v="0"/>
    <n v="1148466317"/>
    <n v="118364255"/>
    <n v="1004229222"/>
    <x v="4"/>
    <x v="1"/>
    <n v="1.1399999999999999"/>
    <n v="0.59"/>
    <n v="0.78"/>
  </r>
  <r>
    <x v="5"/>
    <x v="5"/>
    <n v="1886593268"/>
    <n v="200486178"/>
    <n v="1761303791"/>
    <x v="1"/>
    <x v="0"/>
    <n v="1.07"/>
    <n v="0.56999999999999995"/>
    <n v="0.93"/>
  </r>
  <r>
    <x v="11"/>
    <x v="8"/>
    <n v="788522192"/>
    <n v="112750861"/>
    <n v="1100737389"/>
    <x v="1"/>
    <x v="1"/>
    <n v="0.72"/>
    <n v="0.51"/>
    <n v="0.82"/>
  </r>
  <r>
    <x v="8"/>
    <x v="4"/>
    <n v="1743022754"/>
    <n v="406626912"/>
    <n v="1972487158"/>
    <x v="4"/>
    <x v="3"/>
    <n v="0.88"/>
    <n v="1.03"/>
    <n v="0.78"/>
  </r>
  <r>
    <x v="3"/>
    <x v="3"/>
    <n v="895367741"/>
    <n v="197081617"/>
    <n v="762335998"/>
    <x v="7"/>
    <x v="1"/>
    <n v="1.17"/>
    <n v="1.29"/>
    <n v="0.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FD4C823-0461-459F-953B-DE5CD34398C6}"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3:L14" firstHeaderRow="1" firstDataRow="1" firstDataCol="1"/>
  <pivotFields count="10">
    <pivotField showAll="0">
      <items count="13">
        <item x="11"/>
        <item x="1"/>
        <item x="4"/>
        <item x="5"/>
        <item x="0"/>
        <item x="8"/>
        <item x="2"/>
        <item x="9"/>
        <item x="7"/>
        <item x="6"/>
        <item x="10"/>
        <item x="3"/>
        <item t="default"/>
      </items>
    </pivotField>
    <pivotField axis="axisRow" showAll="0">
      <items count="11">
        <item x="3"/>
        <item x="0"/>
        <item x="4"/>
        <item x="7"/>
        <item x="6"/>
        <item x="1"/>
        <item x="8"/>
        <item x="5"/>
        <item x="2"/>
        <item x="9"/>
        <item t="default"/>
      </items>
    </pivotField>
    <pivotField numFmtId="166" showAll="0"/>
    <pivotField dataField="1" numFmtId="166" showAll="0"/>
    <pivotField numFmtId="166" showAll="0"/>
    <pivotField showAll="0"/>
    <pivotField showAll="0">
      <items count="5">
        <item x="2"/>
        <item x="3"/>
        <item x="1"/>
        <item x="0"/>
        <item t="default"/>
      </items>
    </pivotField>
    <pivotField numFmtId="9" showAll="0"/>
    <pivotField numFmtId="9" showAll="0"/>
    <pivotField numFmtId="9" showAll="0"/>
  </pivotFields>
  <rowFields count="1">
    <field x="1"/>
  </rowFields>
  <rowItems count="11">
    <i>
      <x/>
    </i>
    <i>
      <x v="1"/>
    </i>
    <i>
      <x v="2"/>
    </i>
    <i>
      <x v="3"/>
    </i>
    <i>
      <x v="4"/>
    </i>
    <i>
      <x v="5"/>
    </i>
    <i>
      <x v="6"/>
    </i>
    <i>
      <x v="7"/>
    </i>
    <i>
      <x v="8"/>
    </i>
    <i>
      <x v="9"/>
    </i>
    <i t="grand">
      <x/>
    </i>
  </rowItems>
  <colItems count="1">
    <i/>
  </colItems>
  <dataFields count="1">
    <dataField name="Sum of سود" fld="3" baseField="0" baseItem="0" numFmtId="166"/>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C6B9FC-991E-46E9-AD4A-1C9C238A283F}"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3:I16" firstHeaderRow="1" firstDataRow="1" firstDataCol="1"/>
  <pivotFields count="10">
    <pivotField axis="axisRow" showAll="0">
      <items count="13">
        <item x="11"/>
        <item x="1"/>
        <item x="4"/>
        <item x="5"/>
        <item x="0"/>
        <item x="8"/>
        <item x="2"/>
        <item x="9"/>
        <item x="7"/>
        <item x="6"/>
        <item x="10"/>
        <item x="3"/>
        <item t="default"/>
      </items>
    </pivotField>
    <pivotField showAll="0">
      <items count="11">
        <item x="3"/>
        <item x="0"/>
        <item x="4"/>
        <item x="7"/>
        <item x="6"/>
        <item x="1"/>
        <item x="8"/>
        <item x="5"/>
        <item x="2"/>
        <item x="9"/>
        <item t="default"/>
      </items>
    </pivotField>
    <pivotField numFmtId="166" showAll="0"/>
    <pivotField numFmtId="166" showAll="0"/>
    <pivotField numFmtId="166" showAll="0"/>
    <pivotField dataField="1" showAll="0">
      <items count="10">
        <item x="8"/>
        <item x="5"/>
        <item x="1"/>
        <item x="0"/>
        <item x="7"/>
        <item x="2"/>
        <item x="4"/>
        <item x="6"/>
        <item x="3"/>
        <item t="default"/>
      </items>
    </pivotField>
    <pivotField showAll="0">
      <items count="5">
        <item x="2"/>
        <item x="3"/>
        <item x="1"/>
        <item x="0"/>
        <item t="default"/>
      </items>
    </pivotField>
    <pivotField numFmtId="9" showAll="0"/>
    <pivotField numFmtId="9" showAll="0"/>
    <pivotField numFmtId="9" showAll="0"/>
  </pivotFields>
  <rowFields count="1">
    <field x="0"/>
  </rowFields>
  <rowItems count="13">
    <i>
      <x/>
    </i>
    <i>
      <x v="1"/>
    </i>
    <i>
      <x v="2"/>
    </i>
    <i>
      <x v="3"/>
    </i>
    <i>
      <x v="4"/>
    </i>
    <i>
      <x v="5"/>
    </i>
    <i>
      <x v="6"/>
    </i>
    <i>
      <x v="7"/>
    </i>
    <i>
      <x v="8"/>
    </i>
    <i>
      <x v="9"/>
    </i>
    <i>
      <x v="10"/>
    </i>
    <i>
      <x v="11"/>
    </i>
    <i t="grand">
      <x/>
    </i>
  </rowItems>
  <colItems count="1">
    <i/>
  </colItems>
  <dataFields count="1">
    <dataField name="Count of مشتری‌ها" fld="5"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637360-FB0B-4C50-8AC9-C7FB8426F29A}"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F16" firstHeaderRow="0" firstDataRow="1" firstDataCol="1"/>
  <pivotFields count="10">
    <pivotField axis="axisRow" showAll="0">
      <items count="13">
        <item x="11"/>
        <item x="1"/>
        <item x="4"/>
        <item x="5"/>
        <item x="0"/>
        <item x="8"/>
        <item x="2"/>
        <item x="9"/>
        <item x="7"/>
        <item x="6"/>
        <item x="10"/>
        <item x="3"/>
        <item t="default"/>
      </items>
    </pivotField>
    <pivotField showAll="0">
      <items count="11">
        <item x="3"/>
        <item x="0"/>
        <item x="4"/>
        <item x="7"/>
        <item x="6"/>
        <item x="1"/>
        <item x="8"/>
        <item x="5"/>
        <item x="2"/>
        <item x="9"/>
        <item t="default"/>
      </items>
    </pivotField>
    <pivotField dataField="1" numFmtId="166" showAll="0"/>
    <pivotField numFmtId="166" showAll="0"/>
    <pivotField dataField="1" numFmtId="166" showAll="0"/>
    <pivotField showAll="0"/>
    <pivotField showAll="0">
      <items count="5">
        <item x="2"/>
        <item x="3"/>
        <item x="1"/>
        <item x="0"/>
        <item t="default"/>
      </items>
    </pivotField>
    <pivotField numFmtId="9" showAll="0"/>
    <pivotField numFmtId="9" showAll="0"/>
    <pivotField numFmtId="9" showAl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  فروش" fld="2" baseField="0" baseItem="0" numFmtId="166"/>
    <dataField name="هدف فروش " fld="4" baseField="0" baseItem="0" numFmtId="166"/>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370649-34EE-4D34-B40C-562BD75BDFB1}" name="PivotTable3" cacheId="6"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B12" firstHeaderRow="1" firstDataRow="1" firstDataCol="1"/>
  <pivotFields count="10">
    <pivotField showAll="0">
      <items count="13">
        <item x="11"/>
        <item x="1"/>
        <item x="4"/>
        <item x="5"/>
        <item x="0"/>
        <item x="8"/>
        <item x="2"/>
        <item x="9"/>
        <item x="7"/>
        <item x="6"/>
        <item x="10"/>
        <item x="3"/>
        <item t="default"/>
      </items>
    </pivotField>
    <pivotField showAll="0">
      <items count="11">
        <item x="3"/>
        <item x="0"/>
        <item x="4"/>
        <item x="7"/>
        <item x="6"/>
        <item x="1"/>
        <item x="8"/>
        <item x="5"/>
        <item x="2"/>
        <item x="9"/>
        <item t="default"/>
      </items>
    </pivotField>
    <pivotField numFmtId="166" showAll="0"/>
    <pivotField numFmtId="166" showAll="0"/>
    <pivotField numFmtId="166" showAll="0"/>
    <pivotField showAll="0"/>
    <pivotField showAll="0">
      <items count="5">
        <item x="2"/>
        <item x="3"/>
        <item x="1"/>
        <item x="0"/>
        <item t="default"/>
      </items>
    </pivotField>
    <pivotField dataField="1" numFmtId="9" showAll="0"/>
    <pivotField dataField="1" numFmtId="9" showAll="0"/>
    <pivotField dataField="1" numFmtId="9" showAll="0"/>
  </pivotFields>
  <rowFields count="1">
    <field x="-2"/>
  </rowFields>
  <rowItems count="3">
    <i>
      <x/>
    </i>
    <i i="1">
      <x v="1"/>
    </i>
    <i i="2">
      <x v="2"/>
    </i>
  </rowItems>
  <colItems count="1">
    <i/>
  </colItems>
  <dataFields count="3">
    <dataField name="Average of نرخ تکمیل فروش" fld="7" subtotal="average" baseField="0" baseItem="0" numFmtId="9"/>
    <dataField name="Average of نرخ تکمیل سود" fld="8" subtotal="average" baseField="0" baseItem="0" numFmtId="9"/>
    <dataField name="Average of نرخ تکمیل مشتریان" fld="9" subtotal="average"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F329C6-5B57-4222-B878-0254B54A8CF3}" name="PivotTable1" cacheId="6"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0">
    <pivotField showAll="0">
      <items count="13">
        <item x="11"/>
        <item x="1"/>
        <item x="4"/>
        <item x="5"/>
        <item x="0"/>
        <item x="8"/>
        <item x="2"/>
        <item x="9"/>
        <item x="7"/>
        <item x="6"/>
        <item x="10"/>
        <item x="3"/>
        <item t="default"/>
      </items>
    </pivotField>
    <pivotField showAll="0">
      <items count="11">
        <item x="3"/>
        <item x="0"/>
        <item x="4"/>
        <item x="7"/>
        <item x="6"/>
        <item x="1"/>
        <item x="8"/>
        <item x="5"/>
        <item x="2"/>
        <item x="9"/>
        <item t="default"/>
      </items>
    </pivotField>
    <pivotField dataField="1" numFmtId="166" showAll="0"/>
    <pivotField dataField="1" numFmtId="166" showAll="0"/>
    <pivotField numFmtId="166" showAll="0"/>
    <pivotField dataField="1" showAll="0"/>
    <pivotField showAll="0">
      <items count="5">
        <item x="2"/>
        <item x="3"/>
        <item x="1"/>
        <item x="0"/>
        <item t="default"/>
      </items>
    </pivotField>
    <pivotField numFmtId="9" showAll="0"/>
    <pivotField numFmtId="9" showAll="0"/>
    <pivotField numFmtId="9" showAll="0"/>
  </pivotFields>
  <rowFields count="1">
    <field x="-2"/>
  </rowFields>
  <rowItems count="3">
    <i>
      <x/>
    </i>
    <i i="1">
      <x v="1"/>
    </i>
    <i i="2">
      <x v="2"/>
    </i>
  </rowItems>
  <colItems count="1">
    <i/>
  </colItems>
  <dataFields count="3">
    <dataField name="Sum of فروش" fld="2" baseField="0" baseItem="0" numFmtId="166"/>
    <dataField name="Sum of سود" fld="3" baseField="0" baseItem="0" numFmtId="166"/>
    <dataField name="Count of مشتری‌ها"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اه" xr10:uid="{05BB4C44-63F7-4511-B569-95477EA3F7A4}" sourceName="ماه">
  <pivotTables>
    <pivotTable tabId="4" name="PivotTable4"/>
    <pivotTable tabId="4" name="PivotTable1"/>
    <pivotTable tabId="4" name="PivotTable3"/>
    <pivotTable tabId="4" name="PivotTable5"/>
    <pivotTable tabId="4" name="PivotTable6"/>
  </pivotTables>
  <data>
    <tabular pivotCacheId="2032810968">
      <items count="12">
        <i x="11" s="1"/>
        <i x="1" s="1"/>
        <i x="4" s="1"/>
        <i x="5" s="1"/>
        <i x="0" s="1"/>
        <i x="8" s="1"/>
        <i x="2" s="1"/>
        <i x="9" s="1"/>
        <i x="7" s="1"/>
        <i x="6" s="1"/>
        <i x="1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ستان" xr10:uid="{B61D22B5-1F2D-4F60-B87A-0563B1EF10DD}" sourceName="استان">
  <pivotTables>
    <pivotTable tabId="4" name="PivotTable4"/>
    <pivotTable tabId="4" name="PivotTable1"/>
    <pivotTable tabId="4" name="PivotTable3"/>
    <pivotTable tabId="4" name="PivotTable5"/>
    <pivotTable tabId="4" name="PivotTable6"/>
  </pivotTables>
  <data>
    <tabular pivotCacheId="2032810968">
      <items count="10">
        <i x="3" s="1"/>
        <i x="0" s="1"/>
        <i x="4" s="1"/>
        <i x="7" s="1"/>
        <i x="6" s="1"/>
        <i x="1" s="1"/>
        <i x="8" s="1"/>
        <i x="5" s="1"/>
        <i x="2"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چارک" xr10:uid="{FC5EA8E8-1593-4339-9184-554F46EAFCD7}" sourceName="چارک">
  <pivotTables>
    <pivotTable tabId="4" name="PivotTable4"/>
    <pivotTable tabId="4" name="PivotTable1"/>
    <pivotTable tabId="4" name="PivotTable3"/>
    <pivotTable tabId="4" name="PivotTable5"/>
    <pivotTable tabId="4" name="PivotTable6"/>
  </pivotTables>
  <data>
    <tabular pivotCacheId="2032810968">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ماه" xr10:uid="{3EF783BE-6509-42C2-88EC-9F2574D35FB0}" cache="Slicer_ماه" caption="ماه" columnCount="3" style="SlicerStyleDark4" rowHeight="234950"/>
  <slicer name="استان" xr10:uid="{139C65EB-08DF-42D8-939D-DB329A01796C}" cache="Slicer_استان" caption="استان" columnCount="2" style="SlicerStyleOther2" rowHeight="234950"/>
  <slicer name="چارک" xr10:uid="{F22C2EEC-FF20-45D8-9554-BF78F54D59D8}" cache="Slicer_چارک" caption="چارک" columnCount="2" style="SlicerStyleLigh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082385-E221-488F-8D27-5320337BFE09}" name="Table1" displayName="Table1" ref="A1:J151" totalsRowShown="0" headerRowDxfId="1" headerRowBorderDxfId="9" tableBorderDxfId="10">
  <autoFilter ref="A1:J151" xr:uid="{63082385-E221-488F-8D27-5320337BFE09}"/>
  <tableColumns count="10">
    <tableColumn id="1" xr3:uid="{54B13901-74C3-4CA9-87FD-E09C956B33F5}" name="ماه" dataDxfId="8"/>
    <tableColumn id="2" xr3:uid="{9E215D79-AF0B-4DAD-B34E-427C010ADF8C}" name="استان"/>
    <tableColumn id="3" xr3:uid="{98E89086-0F4F-452D-8350-0D8DDE49112E}" name="فروش" dataDxfId="7"/>
    <tableColumn id="4" xr3:uid="{0344DAD0-538C-4550-AC78-C64593B06F38}" name="سود" dataDxfId="6"/>
    <tableColumn id="5" xr3:uid="{ED916020-7172-4157-8C87-4AFCC37994F7}" name="هدف فروش" dataDxfId="5"/>
    <tableColumn id="6" xr3:uid="{D8416C05-499F-4656-9DE6-4442E90F5C0E}" name="مشتری‌ها"/>
    <tableColumn id="7" xr3:uid="{4569F976-4B7C-4398-876C-522AAE58DA8C}" name="چارک" dataDxfId="0"/>
    <tableColumn id="8" xr3:uid="{C07688D0-018B-47DD-A84C-A9C8FEFDFEDE}" name="نرخ تکمیل فروش" dataDxfId="4"/>
    <tableColumn id="9" xr3:uid="{13BA80AD-D57A-4113-B382-47864ABBD46D}" name="نرخ تکمیل سود" dataDxfId="3"/>
    <tableColumn id="10" xr3:uid="{1741876C-F8CC-4580-B34D-48DBDDAB641E}" name="نرخ تکمیل مشتریان" dataDxfId="2"/>
  </tableColumns>
  <tableStyleInfo name="TableStyleLight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D0419-8719-4630-96ED-D87E1BE455DF}">
  <dimension ref="A3:R19"/>
  <sheetViews>
    <sheetView rightToLeft="1" topLeftCell="B1" workbookViewId="0">
      <selection activeCell="L16" sqref="L16"/>
    </sheetView>
  </sheetViews>
  <sheetFormatPr defaultRowHeight="14.4" x14ac:dyDescent="0.3"/>
  <cols>
    <col min="1" max="1" width="22.6640625" bestFit="1" customWidth="1"/>
    <col min="2" max="2" width="4.44140625" bestFit="1" customWidth="1"/>
    <col min="3" max="3" width="3.33203125" customWidth="1"/>
    <col min="4" max="4" width="12.5546875" bestFit="1" customWidth="1"/>
    <col min="5" max="6" width="15.77734375" bestFit="1" customWidth="1"/>
    <col min="7" max="7" width="3.109375" customWidth="1"/>
    <col min="8" max="8" width="12.5546875" bestFit="1" customWidth="1"/>
    <col min="9" max="9" width="15.109375" bestFit="1" customWidth="1"/>
    <col min="10" max="10" width="3.21875" customWidth="1"/>
    <col min="11" max="11" width="12.5546875" bestFit="1" customWidth="1"/>
    <col min="12" max="12" width="16.5546875" bestFit="1" customWidth="1"/>
    <col min="13" max="13" width="2.21875" customWidth="1"/>
    <col min="15" max="15" width="15.5546875" bestFit="1" customWidth="1"/>
    <col min="16" max="16" width="2.109375" customWidth="1"/>
  </cols>
  <sheetData>
    <row r="3" spans="1:18" x14ac:dyDescent="0.3">
      <c r="A3" s="12" t="s">
        <v>48</v>
      </c>
      <c r="D3" s="12" t="s">
        <v>52</v>
      </c>
      <c r="E3" t="s">
        <v>59</v>
      </c>
      <c r="F3" t="s">
        <v>60</v>
      </c>
      <c r="H3" s="12" t="s">
        <v>52</v>
      </c>
      <c r="I3" t="s">
        <v>47</v>
      </c>
      <c r="K3" s="12" t="s">
        <v>52</v>
      </c>
      <c r="L3" t="s">
        <v>46</v>
      </c>
    </row>
    <row r="4" spans="1:18" x14ac:dyDescent="0.3">
      <c r="A4" s="9" t="s">
        <v>45</v>
      </c>
      <c r="B4" s="1">
        <v>173505238408</v>
      </c>
      <c r="D4" s="9" t="s">
        <v>21</v>
      </c>
      <c r="E4" s="1">
        <v>17737154152</v>
      </c>
      <c r="F4" s="1">
        <v>19748331819</v>
      </c>
      <c r="H4" s="9" t="s">
        <v>21</v>
      </c>
      <c r="I4" s="11">
        <v>15</v>
      </c>
      <c r="K4" s="9" t="s">
        <v>25</v>
      </c>
      <c r="L4" s="1">
        <v>3141017388</v>
      </c>
    </row>
    <row r="5" spans="1:18" x14ac:dyDescent="0.3">
      <c r="A5" s="9" t="s">
        <v>46</v>
      </c>
      <c r="B5" s="1">
        <v>29350887878</v>
      </c>
      <c r="D5" s="9" t="s">
        <v>11</v>
      </c>
      <c r="E5" s="1">
        <v>23559544582</v>
      </c>
      <c r="F5" s="1">
        <v>23482843175</v>
      </c>
      <c r="H5" s="9" t="s">
        <v>11</v>
      </c>
      <c r="I5" s="11">
        <v>20</v>
      </c>
      <c r="K5" s="9" t="s">
        <v>22</v>
      </c>
      <c r="L5" s="1">
        <v>3957777717</v>
      </c>
    </row>
    <row r="6" spans="1:18" x14ac:dyDescent="0.3">
      <c r="A6" s="9" t="s">
        <v>47</v>
      </c>
      <c r="B6" s="11">
        <v>150</v>
      </c>
      <c r="D6" s="9" t="s">
        <v>14</v>
      </c>
      <c r="E6" s="1">
        <v>19154574426</v>
      </c>
      <c r="F6" s="1">
        <v>19573150352</v>
      </c>
      <c r="H6" s="9" t="s">
        <v>14</v>
      </c>
      <c r="I6" s="11">
        <v>15</v>
      </c>
      <c r="K6" s="9" t="s">
        <v>26</v>
      </c>
      <c r="L6" s="1">
        <v>2760485640</v>
      </c>
    </row>
    <row r="7" spans="1:18" x14ac:dyDescent="0.3">
      <c r="D7" s="9" t="s">
        <v>15</v>
      </c>
      <c r="E7" s="1">
        <v>10282615451</v>
      </c>
      <c r="F7" s="1">
        <v>11338060614</v>
      </c>
      <c r="H7" s="9" t="s">
        <v>15</v>
      </c>
      <c r="I7" s="11">
        <v>9</v>
      </c>
      <c r="K7" s="9" t="s">
        <v>29</v>
      </c>
      <c r="L7" s="1">
        <v>1348751478</v>
      </c>
    </row>
    <row r="8" spans="1:18" x14ac:dyDescent="0.3">
      <c r="D8" s="9" t="s">
        <v>10</v>
      </c>
      <c r="E8" s="1">
        <v>17454417196</v>
      </c>
      <c r="F8" s="1">
        <v>19930272671</v>
      </c>
      <c r="H8" s="9" t="s">
        <v>10</v>
      </c>
      <c r="I8" s="11">
        <v>16</v>
      </c>
      <c r="K8" s="9" t="s">
        <v>28</v>
      </c>
      <c r="L8" s="1">
        <v>3011801171</v>
      </c>
    </row>
    <row r="9" spans="1:18" x14ac:dyDescent="0.3">
      <c r="A9" s="12" t="s">
        <v>48</v>
      </c>
      <c r="D9" s="9" t="s">
        <v>18</v>
      </c>
      <c r="E9" s="1">
        <v>17953035210</v>
      </c>
      <c r="F9" s="1">
        <v>19298520032</v>
      </c>
      <c r="H9" s="9" t="s">
        <v>18</v>
      </c>
      <c r="I9" s="11">
        <v>16</v>
      </c>
      <c r="K9" s="9" t="s">
        <v>23</v>
      </c>
      <c r="L9" s="1">
        <v>1314132748</v>
      </c>
    </row>
    <row r="10" spans="1:18" x14ac:dyDescent="0.3">
      <c r="A10" s="9" t="s">
        <v>49</v>
      </c>
      <c r="B10" s="2">
        <v>0.94599999999999962</v>
      </c>
      <c r="D10" s="9" t="s">
        <v>12</v>
      </c>
      <c r="E10" s="1">
        <v>9732928063</v>
      </c>
      <c r="F10" s="1">
        <v>10686324898</v>
      </c>
      <c r="H10" s="9" t="s">
        <v>12</v>
      </c>
      <c r="I10" s="11">
        <v>9</v>
      </c>
      <c r="K10" s="9" t="s">
        <v>30</v>
      </c>
      <c r="L10" s="1">
        <v>2616565528</v>
      </c>
    </row>
    <row r="11" spans="1:18" x14ac:dyDescent="0.3">
      <c r="A11" s="9" t="s">
        <v>50</v>
      </c>
      <c r="B11" s="2">
        <v>0.80293333333333383</v>
      </c>
      <c r="D11" s="9" t="s">
        <v>19</v>
      </c>
      <c r="E11" s="1">
        <v>9952809744</v>
      </c>
      <c r="F11" s="1">
        <v>10619049367</v>
      </c>
      <c r="H11" s="9" t="s">
        <v>19</v>
      </c>
      <c r="I11" s="11">
        <v>10</v>
      </c>
      <c r="K11" s="9" t="s">
        <v>27</v>
      </c>
      <c r="L11" s="1">
        <v>3331547170</v>
      </c>
    </row>
    <row r="12" spans="1:18" x14ac:dyDescent="0.3">
      <c r="A12" s="9" t="s">
        <v>51</v>
      </c>
      <c r="B12" s="2">
        <v>0.85053333333333325</v>
      </c>
      <c r="D12" s="9" t="s">
        <v>17</v>
      </c>
      <c r="E12" s="1">
        <v>9947095687</v>
      </c>
      <c r="F12" s="1">
        <v>10110362317</v>
      </c>
      <c r="H12" s="9" t="s">
        <v>17</v>
      </c>
      <c r="I12" s="11">
        <v>8</v>
      </c>
      <c r="K12" s="9" t="s">
        <v>24</v>
      </c>
      <c r="L12" s="1">
        <v>3663335458</v>
      </c>
    </row>
    <row r="13" spans="1:18" x14ac:dyDescent="0.3">
      <c r="D13" s="9" t="s">
        <v>16</v>
      </c>
      <c r="E13" s="1">
        <v>15213314144</v>
      </c>
      <c r="F13" s="1">
        <v>15867535015</v>
      </c>
      <c r="H13" s="9" t="s">
        <v>16</v>
      </c>
      <c r="I13" s="11">
        <v>13</v>
      </c>
      <c r="K13" s="9" t="s">
        <v>31</v>
      </c>
      <c r="L13" s="1">
        <v>4205473580</v>
      </c>
    </row>
    <row r="14" spans="1:18" x14ac:dyDescent="0.3">
      <c r="D14" s="9" t="s">
        <v>20</v>
      </c>
      <c r="E14" s="1">
        <v>9054755414</v>
      </c>
      <c r="F14" s="1">
        <v>9433797690</v>
      </c>
      <c r="H14" s="9" t="s">
        <v>20</v>
      </c>
      <c r="I14" s="11">
        <v>7</v>
      </c>
      <c r="K14" s="9" t="s">
        <v>53</v>
      </c>
      <c r="L14" s="1">
        <v>29350887878</v>
      </c>
    </row>
    <row r="15" spans="1:18" x14ac:dyDescent="0.3">
      <c r="D15" s="9" t="s">
        <v>13</v>
      </c>
      <c r="E15" s="1">
        <v>13462994339</v>
      </c>
      <c r="F15" s="1">
        <v>14231953613</v>
      </c>
      <c r="H15" s="9" t="s">
        <v>13</v>
      </c>
      <c r="I15" s="11">
        <v>12</v>
      </c>
    </row>
    <row r="16" spans="1:18" x14ac:dyDescent="0.3">
      <c r="D16" s="9" t="s">
        <v>53</v>
      </c>
      <c r="E16" s="1">
        <v>173505238408</v>
      </c>
      <c r="F16" s="1">
        <v>184320201563</v>
      </c>
      <c r="H16" s="9" t="s">
        <v>53</v>
      </c>
      <c r="I16" s="11">
        <v>150</v>
      </c>
      <c r="K16" s="13" t="s">
        <v>2</v>
      </c>
      <c r="L16" s="14" t="s">
        <v>54</v>
      </c>
      <c r="N16" s="13" t="s">
        <v>3</v>
      </c>
      <c r="O16" s="14" t="s">
        <v>54</v>
      </c>
      <c r="Q16" s="13" t="s">
        <v>58</v>
      </c>
      <c r="R16" s="14" t="s">
        <v>54</v>
      </c>
    </row>
    <row r="17" spans="11:18" x14ac:dyDescent="0.3">
      <c r="K17" s="9" t="s">
        <v>55</v>
      </c>
      <c r="L17" s="15">
        <f>GETPIVOTDATA("Sum of فروش",$A$3)</f>
        <v>173505238408</v>
      </c>
      <c r="N17" s="9" t="s">
        <v>55</v>
      </c>
      <c r="O17" s="15">
        <f>GETPIVOTDATA("Sum of سود",$A$3)</f>
        <v>29350887878</v>
      </c>
      <c r="Q17" s="9" t="s">
        <v>55</v>
      </c>
      <c r="R17" s="15">
        <f>GETPIVOTDATA("Count of مشتری‌ها",$A$3)</f>
        <v>150</v>
      </c>
    </row>
    <row r="18" spans="11:18" x14ac:dyDescent="0.3">
      <c r="K18" s="9" t="s">
        <v>56</v>
      </c>
      <c r="L18" s="2">
        <f>GETPIVOTDATA("Average of نرخ تکمیل فروش",$A$9)</f>
        <v>0.94599999999999962</v>
      </c>
      <c r="N18" s="9" t="s">
        <v>56</v>
      </c>
      <c r="O18" s="2">
        <f>GETPIVOTDATA("Average of نرخ تکمیل سود",$A$9)</f>
        <v>0.80293333333333383</v>
      </c>
      <c r="Q18" s="9" t="s">
        <v>56</v>
      </c>
      <c r="R18" s="2">
        <f>GETPIVOTDATA("Average of نرخ تکمیل مشتریان",$A$9)</f>
        <v>0.85053333333333325</v>
      </c>
    </row>
    <row r="19" spans="11:18" x14ac:dyDescent="0.3">
      <c r="K19" s="9" t="s">
        <v>57</v>
      </c>
      <c r="L19" s="2">
        <f>1-GETPIVOTDATA("Average of نرخ تکمیل فروش",$A$9)</f>
        <v>5.4000000000000381E-2</v>
      </c>
      <c r="N19" s="9" t="s">
        <v>57</v>
      </c>
      <c r="O19" s="2">
        <f>1-GETPIVOTDATA("Average of نرخ تکمیل سود",$A$9)</f>
        <v>0.19706666666666617</v>
      </c>
      <c r="Q19" s="9" t="s">
        <v>57</v>
      </c>
      <c r="R19" s="2">
        <f>1-GETPIVOTDATA("Average of نرخ تکمیل مشتریان",$A$9)</f>
        <v>0.14946666666666675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1"/>
  <sheetViews>
    <sheetView rightToLeft="1" workbookViewId="0">
      <selection activeCell="F11" sqref="F11"/>
    </sheetView>
  </sheetViews>
  <sheetFormatPr defaultRowHeight="14.4" x14ac:dyDescent="0.3"/>
  <cols>
    <col min="1" max="1" width="8.88671875" style="3"/>
    <col min="2" max="2" width="16.88671875" customWidth="1"/>
    <col min="3" max="3" width="16" style="1" bestFit="1" customWidth="1"/>
    <col min="4" max="4" width="14.5546875" style="1" bestFit="1" customWidth="1"/>
    <col min="5" max="5" width="19" style="1" customWidth="1"/>
    <col min="6" max="6" width="17.33203125" customWidth="1"/>
    <col min="7" max="7" width="8.88671875" style="9"/>
    <col min="8" max="8" width="16.44140625" style="2" customWidth="1"/>
    <col min="9" max="9" width="15.44140625" style="2" customWidth="1"/>
    <col min="10" max="10" width="15.88671875" style="2" customWidth="1"/>
  </cols>
  <sheetData>
    <row r="1" spans="1:10" x14ac:dyDescent="0.3">
      <c r="A1" s="4" t="s">
        <v>0</v>
      </c>
      <c r="B1" s="5" t="s">
        <v>1</v>
      </c>
      <c r="C1" s="6" t="s">
        <v>2</v>
      </c>
      <c r="D1" s="6" t="s">
        <v>3</v>
      </c>
      <c r="E1" s="6" t="s">
        <v>4</v>
      </c>
      <c r="F1" s="5" t="s">
        <v>5</v>
      </c>
      <c r="G1" s="8" t="s">
        <v>6</v>
      </c>
      <c r="H1" s="7" t="s">
        <v>7</v>
      </c>
      <c r="I1" s="7" t="s">
        <v>8</v>
      </c>
      <c r="J1" s="7" t="s">
        <v>9</v>
      </c>
    </row>
    <row r="2" spans="1:10" x14ac:dyDescent="0.3">
      <c r="A2" s="3" t="s">
        <v>10</v>
      </c>
      <c r="B2" t="s">
        <v>22</v>
      </c>
      <c r="C2" s="1">
        <v>896976775</v>
      </c>
      <c r="D2" s="1">
        <v>93035729</v>
      </c>
      <c r="E2" s="1">
        <v>1090620971</v>
      </c>
      <c r="F2" t="s">
        <v>32</v>
      </c>
      <c r="G2" s="9" t="s">
        <v>41</v>
      </c>
      <c r="H2" s="2">
        <v>0.82</v>
      </c>
      <c r="I2" s="2">
        <v>0.43</v>
      </c>
      <c r="J2" s="2">
        <v>0.94</v>
      </c>
    </row>
    <row r="3" spans="1:10" x14ac:dyDescent="0.3">
      <c r="A3" s="3" t="s">
        <v>11</v>
      </c>
      <c r="B3" t="s">
        <v>22</v>
      </c>
      <c r="C3" s="1">
        <v>406243131</v>
      </c>
      <c r="D3" s="1">
        <v>47598880</v>
      </c>
      <c r="E3" s="1">
        <v>568252793</v>
      </c>
      <c r="F3" t="s">
        <v>33</v>
      </c>
      <c r="G3" s="9" t="s">
        <v>42</v>
      </c>
      <c r="H3" s="2">
        <v>0.71</v>
      </c>
      <c r="I3" s="2">
        <v>0.42</v>
      </c>
      <c r="J3" s="2">
        <v>0.9</v>
      </c>
    </row>
    <row r="4" spans="1:10" x14ac:dyDescent="0.3">
      <c r="A4" s="3" t="s">
        <v>11</v>
      </c>
      <c r="B4" t="s">
        <v>23</v>
      </c>
      <c r="C4" s="1">
        <v>1135047319</v>
      </c>
      <c r="D4" s="1">
        <v>204507339</v>
      </c>
      <c r="E4" s="1">
        <v>1400911954</v>
      </c>
      <c r="F4" t="s">
        <v>34</v>
      </c>
      <c r="G4" s="9" t="s">
        <v>42</v>
      </c>
      <c r="H4" s="2">
        <v>0.81</v>
      </c>
      <c r="I4" s="2">
        <v>0.73</v>
      </c>
      <c r="J4" s="2">
        <v>0.97</v>
      </c>
    </row>
    <row r="5" spans="1:10" x14ac:dyDescent="0.3">
      <c r="A5" s="3" t="s">
        <v>12</v>
      </c>
      <c r="B5" t="s">
        <v>24</v>
      </c>
      <c r="C5" s="1">
        <v>852965977</v>
      </c>
      <c r="D5" s="1">
        <v>207037209</v>
      </c>
      <c r="E5" s="1">
        <v>1096724164</v>
      </c>
      <c r="F5" t="s">
        <v>35</v>
      </c>
      <c r="G5" s="9" t="s">
        <v>43</v>
      </c>
      <c r="H5" s="2">
        <v>0.78</v>
      </c>
      <c r="I5" s="2">
        <v>0.94</v>
      </c>
      <c r="J5" s="2">
        <v>0.65</v>
      </c>
    </row>
    <row r="6" spans="1:10" x14ac:dyDescent="0.3">
      <c r="A6" s="3" t="s">
        <v>13</v>
      </c>
      <c r="B6" t="s">
        <v>22</v>
      </c>
      <c r="C6" s="1">
        <v>1240946892</v>
      </c>
      <c r="D6" s="1">
        <v>269548316</v>
      </c>
      <c r="E6" s="1">
        <v>1238639288</v>
      </c>
      <c r="F6" t="s">
        <v>35</v>
      </c>
      <c r="G6" s="9" t="s">
        <v>42</v>
      </c>
      <c r="H6" s="2">
        <v>1</v>
      </c>
      <c r="I6" s="2">
        <v>1.0900000000000001</v>
      </c>
      <c r="J6" s="2">
        <v>0.83</v>
      </c>
    </row>
    <row r="7" spans="1:10" x14ac:dyDescent="0.3">
      <c r="A7" s="3" t="s">
        <v>14</v>
      </c>
      <c r="B7" t="s">
        <v>24</v>
      </c>
      <c r="C7" s="1">
        <v>1426924499</v>
      </c>
      <c r="D7" s="1">
        <v>266647620</v>
      </c>
      <c r="E7" s="1">
        <v>1685498232</v>
      </c>
      <c r="F7" t="s">
        <v>36</v>
      </c>
      <c r="G7" s="9" t="s">
        <v>43</v>
      </c>
      <c r="H7" s="2">
        <v>0.85</v>
      </c>
      <c r="I7" s="2">
        <v>0.79</v>
      </c>
      <c r="J7" s="2">
        <v>0.89</v>
      </c>
    </row>
    <row r="8" spans="1:10" x14ac:dyDescent="0.3">
      <c r="A8" s="3" t="s">
        <v>15</v>
      </c>
      <c r="B8" t="s">
        <v>22</v>
      </c>
      <c r="C8" s="1">
        <v>1562824809</v>
      </c>
      <c r="D8" s="1">
        <v>201910641</v>
      </c>
      <c r="E8" s="1">
        <v>1920052172</v>
      </c>
      <c r="F8" t="s">
        <v>32</v>
      </c>
      <c r="G8" s="9" t="s">
        <v>41</v>
      </c>
      <c r="H8" s="2">
        <v>0.81</v>
      </c>
      <c r="I8" s="2">
        <v>0.53</v>
      </c>
      <c r="J8" s="2">
        <v>1.02</v>
      </c>
    </row>
    <row r="9" spans="1:10" x14ac:dyDescent="0.3">
      <c r="A9" s="3" t="s">
        <v>14</v>
      </c>
      <c r="B9" t="s">
        <v>24</v>
      </c>
      <c r="C9" s="1">
        <v>1499985134</v>
      </c>
      <c r="D9" s="1">
        <v>213030094</v>
      </c>
      <c r="E9" s="1">
        <v>1473691209</v>
      </c>
      <c r="F9" t="s">
        <v>37</v>
      </c>
      <c r="G9" s="9" t="s">
        <v>43</v>
      </c>
      <c r="H9" s="2">
        <v>1.02</v>
      </c>
      <c r="I9" s="2">
        <v>0.72</v>
      </c>
      <c r="J9" s="2">
        <v>0.77</v>
      </c>
    </row>
    <row r="10" spans="1:10" x14ac:dyDescent="0.3">
      <c r="A10" s="3" t="s">
        <v>10</v>
      </c>
      <c r="B10" t="s">
        <v>25</v>
      </c>
      <c r="C10" s="1">
        <v>1839720974</v>
      </c>
      <c r="D10" s="1">
        <v>314231294</v>
      </c>
      <c r="E10" s="1">
        <v>1808098873</v>
      </c>
      <c r="F10" t="s">
        <v>36</v>
      </c>
      <c r="G10" s="9" t="s">
        <v>41</v>
      </c>
      <c r="H10" s="2">
        <v>1.02</v>
      </c>
      <c r="I10" s="2">
        <v>0.87</v>
      </c>
      <c r="J10" s="2">
        <v>0.68</v>
      </c>
    </row>
    <row r="11" spans="1:10" x14ac:dyDescent="0.3">
      <c r="A11" s="3" t="s">
        <v>13</v>
      </c>
      <c r="B11" t="s">
        <v>25</v>
      </c>
      <c r="C11" s="1">
        <v>1012726435</v>
      </c>
      <c r="D11" s="1">
        <v>226126446</v>
      </c>
      <c r="E11" s="1">
        <v>971619987</v>
      </c>
      <c r="F11" t="s">
        <v>34</v>
      </c>
      <c r="G11" s="9" t="s">
        <v>42</v>
      </c>
      <c r="H11" s="2">
        <v>1.04</v>
      </c>
      <c r="I11" s="2">
        <v>1.1599999999999999</v>
      </c>
      <c r="J11" s="2">
        <v>0.63</v>
      </c>
    </row>
    <row r="12" spans="1:10" x14ac:dyDescent="0.3">
      <c r="A12" s="3" t="s">
        <v>16</v>
      </c>
      <c r="B12" t="s">
        <v>26</v>
      </c>
      <c r="C12" s="1">
        <v>788053771</v>
      </c>
      <c r="D12" s="1">
        <v>185376363</v>
      </c>
      <c r="E12" s="1">
        <v>1074969167</v>
      </c>
      <c r="F12" t="s">
        <v>33</v>
      </c>
      <c r="G12" s="9" t="s">
        <v>43</v>
      </c>
      <c r="H12" s="2">
        <v>0.73</v>
      </c>
      <c r="I12" s="2">
        <v>0.86</v>
      </c>
      <c r="J12" s="2">
        <v>1.04</v>
      </c>
    </row>
    <row r="13" spans="1:10" x14ac:dyDescent="0.3">
      <c r="A13" s="3" t="s">
        <v>17</v>
      </c>
      <c r="B13" t="s">
        <v>23</v>
      </c>
      <c r="C13" s="1">
        <v>1541719079</v>
      </c>
      <c r="D13" s="1">
        <v>291824015</v>
      </c>
      <c r="E13" s="1">
        <v>1349613032</v>
      </c>
      <c r="F13" t="s">
        <v>38</v>
      </c>
      <c r="G13" s="9" t="s">
        <v>44</v>
      </c>
      <c r="H13" s="2">
        <v>1.1399999999999999</v>
      </c>
      <c r="I13" s="2">
        <v>1.08</v>
      </c>
      <c r="J13" s="2">
        <v>0.73</v>
      </c>
    </row>
    <row r="14" spans="1:10" x14ac:dyDescent="0.3">
      <c r="A14" s="3" t="s">
        <v>18</v>
      </c>
      <c r="B14" t="s">
        <v>27</v>
      </c>
      <c r="C14" s="1">
        <v>1142461807</v>
      </c>
      <c r="D14" s="1">
        <v>174606722</v>
      </c>
      <c r="E14" s="1">
        <v>1064233310</v>
      </c>
      <c r="F14" t="s">
        <v>34</v>
      </c>
      <c r="G14" s="9" t="s">
        <v>44</v>
      </c>
      <c r="H14" s="2">
        <v>1.07</v>
      </c>
      <c r="I14" s="2">
        <v>0.82</v>
      </c>
      <c r="J14" s="2">
        <v>0.8</v>
      </c>
    </row>
    <row r="15" spans="1:10" x14ac:dyDescent="0.3">
      <c r="A15" s="3" t="s">
        <v>18</v>
      </c>
      <c r="B15" t="s">
        <v>28</v>
      </c>
      <c r="C15" s="1">
        <v>1162773071</v>
      </c>
      <c r="D15" s="1">
        <v>102335406</v>
      </c>
      <c r="E15" s="1">
        <v>1559817199</v>
      </c>
      <c r="F15" t="s">
        <v>34</v>
      </c>
      <c r="G15" s="9" t="s">
        <v>44</v>
      </c>
      <c r="H15" s="2">
        <v>0.75</v>
      </c>
      <c r="I15" s="2">
        <v>0.33</v>
      </c>
      <c r="J15" s="2">
        <v>0.67</v>
      </c>
    </row>
    <row r="16" spans="1:10" x14ac:dyDescent="0.3">
      <c r="A16" s="3" t="s">
        <v>12</v>
      </c>
      <c r="B16" t="s">
        <v>24</v>
      </c>
      <c r="C16" s="1">
        <v>1181464355</v>
      </c>
      <c r="D16" s="1">
        <v>294587072</v>
      </c>
      <c r="E16" s="1">
        <v>1326281506</v>
      </c>
      <c r="F16" t="s">
        <v>36</v>
      </c>
      <c r="G16" s="9" t="s">
        <v>43</v>
      </c>
      <c r="H16" s="2">
        <v>0.89</v>
      </c>
      <c r="I16" s="2">
        <v>1.1100000000000001</v>
      </c>
      <c r="J16" s="2">
        <v>0.72</v>
      </c>
    </row>
    <row r="17" spans="1:10" x14ac:dyDescent="0.3">
      <c r="A17" s="3" t="s">
        <v>11</v>
      </c>
      <c r="B17" t="s">
        <v>29</v>
      </c>
      <c r="C17" s="1">
        <v>2243618695</v>
      </c>
      <c r="D17" s="1">
        <v>465885685</v>
      </c>
      <c r="E17" s="1">
        <v>1963961867</v>
      </c>
      <c r="F17" t="s">
        <v>36</v>
      </c>
      <c r="G17" s="9" t="s">
        <v>42</v>
      </c>
      <c r="H17" s="2">
        <v>1.1399999999999999</v>
      </c>
      <c r="I17" s="2">
        <v>1.19</v>
      </c>
      <c r="J17" s="2">
        <v>0.92</v>
      </c>
    </row>
    <row r="18" spans="1:10" x14ac:dyDescent="0.3">
      <c r="A18" s="3" t="s">
        <v>14</v>
      </c>
      <c r="B18" t="s">
        <v>25</v>
      </c>
      <c r="C18" s="1">
        <v>778231388</v>
      </c>
      <c r="D18" s="1">
        <v>188447724</v>
      </c>
      <c r="E18" s="1">
        <v>839641189</v>
      </c>
      <c r="F18" t="s">
        <v>33</v>
      </c>
      <c r="G18" s="9" t="s">
        <v>43</v>
      </c>
      <c r="H18" s="2">
        <v>0.93</v>
      </c>
      <c r="I18" s="2">
        <v>1.1200000000000001</v>
      </c>
      <c r="J18" s="2">
        <v>0.73</v>
      </c>
    </row>
    <row r="19" spans="1:10" x14ac:dyDescent="0.3">
      <c r="A19" s="3" t="s">
        <v>11</v>
      </c>
      <c r="B19" t="s">
        <v>28</v>
      </c>
      <c r="C19" s="1">
        <v>827053987</v>
      </c>
      <c r="D19" s="1">
        <v>108125411</v>
      </c>
      <c r="E19" s="1">
        <v>728515502</v>
      </c>
      <c r="F19" t="s">
        <v>34</v>
      </c>
      <c r="G19" s="9" t="s">
        <v>42</v>
      </c>
      <c r="H19" s="2">
        <v>1.1399999999999999</v>
      </c>
      <c r="I19" s="2">
        <v>0.74</v>
      </c>
      <c r="J19" s="2">
        <v>0.85</v>
      </c>
    </row>
    <row r="20" spans="1:10" x14ac:dyDescent="0.3">
      <c r="A20" s="3" t="s">
        <v>18</v>
      </c>
      <c r="B20" t="s">
        <v>28</v>
      </c>
      <c r="C20" s="1">
        <v>821253239</v>
      </c>
      <c r="D20" s="1">
        <v>174406677</v>
      </c>
      <c r="E20" s="1">
        <v>846923914</v>
      </c>
      <c r="F20" t="s">
        <v>35</v>
      </c>
      <c r="G20" s="9" t="s">
        <v>44</v>
      </c>
      <c r="H20" s="2">
        <v>0.97</v>
      </c>
      <c r="I20" s="2">
        <v>1.03</v>
      </c>
      <c r="J20" s="2">
        <v>1.06</v>
      </c>
    </row>
    <row r="21" spans="1:10" x14ac:dyDescent="0.3">
      <c r="A21" s="3" t="s">
        <v>19</v>
      </c>
      <c r="B21" t="s">
        <v>26</v>
      </c>
      <c r="C21" s="1">
        <v>409584609</v>
      </c>
      <c r="D21" s="1">
        <v>58040895</v>
      </c>
      <c r="E21" s="1">
        <v>541825985</v>
      </c>
      <c r="F21" t="s">
        <v>38</v>
      </c>
      <c r="G21" s="9" t="s">
        <v>41</v>
      </c>
      <c r="H21" s="2">
        <v>0.76</v>
      </c>
      <c r="I21" s="2">
        <v>0.54</v>
      </c>
      <c r="J21" s="2">
        <v>0.72</v>
      </c>
    </row>
    <row r="22" spans="1:10" x14ac:dyDescent="0.3">
      <c r="A22" s="3" t="s">
        <v>18</v>
      </c>
      <c r="B22" t="s">
        <v>30</v>
      </c>
      <c r="C22" s="1">
        <v>729047779</v>
      </c>
      <c r="D22" s="1">
        <v>159460212</v>
      </c>
      <c r="E22" s="1">
        <v>683939380</v>
      </c>
      <c r="F22" t="s">
        <v>36</v>
      </c>
      <c r="G22" s="9" t="s">
        <v>44</v>
      </c>
      <c r="H22" s="2">
        <v>1.07</v>
      </c>
      <c r="I22" s="2">
        <v>1.17</v>
      </c>
      <c r="J22" s="2">
        <v>0.86</v>
      </c>
    </row>
    <row r="23" spans="1:10" x14ac:dyDescent="0.3">
      <c r="A23" s="3" t="s">
        <v>12</v>
      </c>
      <c r="B23" t="s">
        <v>28</v>
      </c>
      <c r="C23" s="1">
        <v>1315249926</v>
      </c>
      <c r="D23" s="1">
        <v>223203888</v>
      </c>
      <c r="E23" s="1">
        <v>1680694232</v>
      </c>
      <c r="F23" t="s">
        <v>38</v>
      </c>
      <c r="G23" s="9" t="s">
        <v>43</v>
      </c>
      <c r="H23" s="2">
        <v>0.78</v>
      </c>
      <c r="I23" s="2">
        <v>0.66</v>
      </c>
      <c r="J23" s="2">
        <v>0.81</v>
      </c>
    </row>
    <row r="24" spans="1:10" x14ac:dyDescent="0.3">
      <c r="A24" s="3" t="s">
        <v>18</v>
      </c>
      <c r="B24" t="s">
        <v>27</v>
      </c>
      <c r="C24" s="1">
        <v>1051875875</v>
      </c>
      <c r="D24" s="1">
        <v>204260392</v>
      </c>
      <c r="E24" s="1">
        <v>1169405645</v>
      </c>
      <c r="F24" t="s">
        <v>39</v>
      </c>
      <c r="G24" s="9" t="s">
        <v>44</v>
      </c>
      <c r="H24" s="2">
        <v>0.9</v>
      </c>
      <c r="I24" s="2">
        <v>0.87</v>
      </c>
      <c r="J24" s="2">
        <v>0.82</v>
      </c>
    </row>
    <row r="25" spans="1:10" x14ac:dyDescent="0.3">
      <c r="A25" s="3" t="s">
        <v>11</v>
      </c>
      <c r="B25" t="s">
        <v>31</v>
      </c>
      <c r="C25" s="1">
        <v>838647044</v>
      </c>
      <c r="D25" s="1">
        <v>115292621</v>
      </c>
      <c r="E25" s="1">
        <v>1032373262</v>
      </c>
      <c r="F25" t="s">
        <v>36</v>
      </c>
      <c r="G25" s="9" t="s">
        <v>42</v>
      </c>
      <c r="H25" s="2">
        <v>0.81</v>
      </c>
      <c r="I25" s="2">
        <v>0.56000000000000005</v>
      </c>
      <c r="J25" s="2">
        <v>0.88</v>
      </c>
    </row>
    <row r="26" spans="1:10" x14ac:dyDescent="0.3">
      <c r="A26" s="3" t="s">
        <v>19</v>
      </c>
      <c r="B26" t="s">
        <v>23</v>
      </c>
      <c r="C26" s="1">
        <v>687637253</v>
      </c>
      <c r="D26" s="1">
        <v>61893225</v>
      </c>
      <c r="E26" s="1">
        <v>652456491</v>
      </c>
      <c r="F26" t="s">
        <v>32</v>
      </c>
      <c r="G26" s="9" t="s">
        <v>41</v>
      </c>
      <c r="H26" s="2">
        <v>1.05</v>
      </c>
      <c r="I26" s="2">
        <v>0.47</v>
      </c>
      <c r="J26" s="2">
        <v>1.05</v>
      </c>
    </row>
    <row r="27" spans="1:10" x14ac:dyDescent="0.3">
      <c r="A27" s="3" t="s">
        <v>17</v>
      </c>
      <c r="B27" t="s">
        <v>22</v>
      </c>
      <c r="C27" s="1">
        <v>848563464</v>
      </c>
      <c r="D27" s="1">
        <v>137908928</v>
      </c>
      <c r="E27" s="1">
        <v>1011111062</v>
      </c>
      <c r="F27" t="s">
        <v>34</v>
      </c>
      <c r="G27" s="9" t="s">
        <v>44</v>
      </c>
      <c r="H27" s="2">
        <v>0.84</v>
      </c>
      <c r="I27" s="2">
        <v>0.68</v>
      </c>
      <c r="J27" s="2">
        <v>0.66</v>
      </c>
    </row>
    <row r="28" spans="1:10" x14ac:dyDescent="0.3">
      <c r="A28" s="3" t="s">
        <v>19</v>
      </c>
      <c r="B28" t="s">
        <v>30</v>
      </c>
      <c r="C28" s="1">
        <v>1116157668</v>
      </c>
      <c r="D28" s="1">
        <v>242512587</v>
      </c>
      <c r="E28" s="1">
        <v>1021832596</v>
      </c>
      <c r="F28" t="s">
        <v>38</v>
      </c>
      <c r="G28" s="9" t="s">
        <v>41</v>
      </c>
      <c r="H28" s="2">
        <v>1.0900000000000001</v>
      </c>
      <c r="I28" s="2">
        <v>1.19</v>
      </c>
      <c r="J28" s="2">
        <v>0.64</v>
      </c>
    </row>
    <row r="29" spans="1:10" x14ac:dyDescent="0.3">
      <c r="A29" s="3" t="s">
        <v>10</v>
      </c>
      <c r="B29" t="s">
        <v>24</v>
      </c>
      <c r="C29" s="1">
        <v>1276490391</v>
      </c>
      <c r="D29" s="1">
        <v>289574713</v>
      </c>
      <c r="E29" s="1">
        <v>1409628168</v>
      </c>
      <c r="F29" t="s">
        <v>35</v>
      </c>
      <c r="G29" s="9" t="s">
        <v>41</v>
      </c>
      <c r="H29" s="2">
        <v>0.91</v>
      </c>
      <c r="I29" s="2">
        <v>1.03</v>
      </c>
      <c r="J29" s="2">
        <v>0.93</v>
      </c>
    </row>
    <row r="30" spans="1:10" x14ac:dyDescent="0.3">
      <c r="A30" s="3" t="s">
        <v>10</v>
      </c>
      <c r="B30" t="s">
        <v>22</v>
      </c>
      <c r="C30" s="1">
        <v>1452104202</v>
      </c>
      <c r="D30" s="1">
        <v>313800773</v>
      </c>
      <c r="E30" s="1">
        <v>1364622621</v>
      </c>
      <c r="F30" t="s">
        <v>32</v>
      </c>
      <c r="G30" s="9" t="s">
        <v>41</v>
      </c>
      <c r="H30" s="2">
        <v>1.06</v>
      </c>
      <c r="I30" s="2">
        <v>1.1499999999999999</v>
      </c>
      <c r="J30" s="2">
        <v>0.72</v>
      </c>
    </row>
    <row r="31" spans="1:10" x14ac:dyDescent="0.3">
      <c r="A31" s="3" t="s">
        <v>18</v>
      </c>
      <c r="B31" t="s">
        <v>27</v>
      </c>
      <c r="C31" s="1">
        <v>729699300</v>
      </c>
      <c r="D31" s="1">
        <v>92929157</v>
      </c>
      <c r="E31" s="1">
        <v>801039194</v>
      </c>
      <c r="F31" t="s">
        <v>38</v>
      </c>
      <c r="G31" s="9" t="s">
        <v>44</v>
      </c>
      <c r="H31" s="2">
        <v>0.91</v>
      </c>
      <c r="I31" s="2">
        <v>0.57999999999999996</v>
      </c>
      <c r="J31" s="2">
        <v>1.04</v>
      </c>
    </row>
    <row r="32" spans="1:10" x14ac:dyDescent="0.3">
      <c r="A32" s="3" t="s">
        <v>14</v>
      </c>
      <c r="B32" t="s">
        <v>31</v>
      </c>
      <c r="C32" s="1">
        <v>515145543</v>
      </c>
      <c r="D32" s="1">
        <v>128723548</v>
      </c>
      <c r="E32" s="1">
        <v>710257394</v>
      </c>
      <c r="F32" t="s">
        <v>34</v>
      </c>
      <c r="G32" s="9" t="s">
        <v>43</v>
      </c>
      <c r="H32" s="2">
        <v>0.73</v>
      </c>
      <c r="I32" s="2">
        <v>0.91</v>
      </c>
      <c r="J32" s="2">
        <v>1.08</v>
      </c>
    </row>
    <row r="33" spans="1:10" x14ac:dyDescent="0.3">
      <c r="A33" s="3" t="s">
        <v>18</v>
      </c>
      <c r="B33" t="s">
        <v>28</v>
      </c>
      <c r="C33" s="1">
        <v>1451379952</v>
      </c>
      <c r="D33" s="1">
        <v>329449558</v>
      </c>
      <c r="E33" s="1">
        <v>1542906379</v>
      </c>
      <c r="F33" t="s">
        <v>33</v>
      </c>
      <c r="G33" s="9" t="s">
        <v>44</v>
      </c>
      <c r="H33" s="2">
        <v>0.94</v>
      </c>
      <c r="I33" s="2">
        <v>1.07</v>
      </c>
      <c r="J33" s="2">
        <v>0.68</v>
      </c>
    </row>
    <row r="34" spans="1:10" x14ac:dyDescent="0.3">
      <c r="A34" s="3" t="s">
        <v>16</v>
      </c>
      <c r="B34" t="s">
        <v>24</v>
      </c>
      <c r="C34" s="1">
        <v>1244660229</v>
      </c>
      <c r="D34" s="1">
        <v>246966174</v>
      </c>
      <c r="E34" s="1">
        <v>1477123037</v>
      </c>
      <c r="F34" t="s">
        <v>37</v>
      </c>
      <c r="G34" s="9" t="s">
        <v>43</v>
      </c>
      <c r="H34" s="2">
        <v>0.84</v>
      </c>
      <c r="I34" s="2">
        <v>0.84</v>
      </c>
      <c r="J34" s="2">
        <v>1.1000000000000001</v>
      </c>
    </row>
    <row r="35" spans="1:10" x14ac:dyDescent="0.3">
      <c r="A35" s="3" t="s">
        <v>11</v>
      </c>
      <c r="B35" t="s">
        <v>31</v>
      </c>
      <c r="C35" s="1">
        <v>770137858</v>
      </c>
      <c r="D35" s="1">
        <v>188437787</v>
      </c>
      <c r="E35" s="1">
        <v>907802566</v>
      </c>
      <c r="F35" t="s">
        <v>40</v>
      </c>
      <c r="G35" s="9" t="s">
        <v>42</v>
      </c>
      <c r="H35" s="2">
        <v>0.85</v>
      </c>
      <c r="I35" s="2">
        <v>1.04</v>
      </c>
      <c r="J35" s="2">
        <v>0.97</v>
      </c>
    </row>
    <row r="36" spans="1:10" x14ac:dyDescent="0.3">
      <c r="A36" s="3" t="s">
        <v>16</v>
      </c>
      <c r="B36" t="s">
        <v>26</v>
      </c>
      <c r="C36" s="1">
        <v>602872362</v>
      </c>
      <c r="D36" s="1">
        <v>99766070</v>
      </c>
      <c r="E36" s="1">
        <v>607679841</v>
      </c>
      <c r="F36" t="s">
        <v>32</v>
      </c>
      <c r="G36" s="9" t="s">
        <v>43</v>
      </c>
      <c r="H36" s="2">
        <v>0.99</v>
      </c>
      <c r="I36" s="2">
        <v>0.82</v>
      </c>
      <c r="J36" s="2">
        <v>0.68</v>
      </c>
    </row>
    <row r="37" spans="1:10" x14ac:dyDescent="0.3">
      <c r="A37" s="3" t="s">
        <v>11</v>
      </c>
      <c r="B37" t="s">
        <v>22</v>
      </c>
      <c r="C37" s="1">
        <v>645541924</v>
      </c>
      <c r="D37" s="1">
        <v>125742615</v>
      </c>
      <c r="E37" s="1">
        <v>647148436</v>
      </c>
      <c r="F37" t="s">
        <v>40</v>
      </c>
      <c r="G37" s="9" t="s">
        <v>42</v>
      </c>
      <c r="H37" s="2">
        <v>1</v>
      </c>
      <c r="I37" s="2">
        <v>0.97</v>
      </c>
      <c r="J37" s="2">
        <v>0.8</v>
      </c>
    </row>
    <row r="38" spans="1:10" x14ac:dyDescent="0.3">
      <c r="A38" s="3" t="s">
        <v>19</v>
      </c>
      <c r="B38" t="s">
        <v>23</v>
      </c>
      <c r="C38" s="1">
        <v>1356097559</v>
      </c>
      <c r="D38" s="1">
        <v>260036369</v>
      </c>
      <c r="E38" s="1">
        <v>1830111666</v>
      </c>
      <c r="F38" t="s">
        <v>32</v>
      </c>
      <c r="G38" s="9" t="s">
        <v>41</v>
      </c>
      <c r="H38" s="2">
        <v>0.74</v>
      </c>
      <c r="I38" s="2">
        <v>0.71</v>
      </c>
      <c r="J38" s="2">
        <v>0.86</v>
      </c>
    </row>
    <row r="39" spans="1:10" x14ac:dyDescent="0.3">
      <c r="A39" s="3" t="s">
        <v>20</v>
      </c>
      <c r="B39" t="s">
        <v>23</v>
      </c>
      <c r="C39" s="1">
        <v>843279132</v>
      </c>
      <c r="D39" s="1">
        <v>86224707</v>
      </c>
      <c r="E39" s="1">
        <v>1012574190</v>
      </c>
      <c r="F39" t="s">
        <v>35</v>
      </c>
      <c r="G39" s="9" t="s">
        <v>44</v>
      </c>
      <c r="H39" s="2">
        <v>0.83</v>
      </c>
      <c r="I39" s="2">
        <v>0.43</v>
      </c>
      <c r="J39" s="2">
        <v>0.75</v>
      </c>
    </row>
    <row r="40" spans="1:10" x14ac:dyDescent="0.3">
      <c r="A40" s="3" t="s">
        <v>17</v>
      </c>
      <c r="B40" t="s">
        <v>22</v>
      </c>
      <c r="C40" s="1">
        <v>1499862526</v>
      </c>
      <c r="D40" s="1">
        <v>263539224</v>
      </c>
      <c r="E40" s="1">
        <v>1484160659</v>
      </c>
      <c r="F40" t="s">
        <v>32</v>
      </c>
      <c r="G40" s="9" t="s">
        <v>44</v>
      </c>
      <c r="H40" s="2">
        <v>1.01</v>
      </c>
      <c r="I40" s="2">
        <v>0.89</v>
      </c>
      <c r="J40" s="2">
        <v>0.63</v>
      </c>
    </row>
    <row r="41" spans="1:10" x14ac:dyDescent="0.3">
      <c r="A41" s="3" t="s">
        <v>18</v>
      </c>
      <c r="B41" t="s">
        <v>27</v>
      </c>
      <c r="C41" s="1">
        <v>915160685</v>
      </c>
      <c r="D41" s="1">
        <v>210255339</v>
      </c>
      <c r="E41" s="1">
        <v>784448308</v>
      </c>
      <c r="F41" t="s">
        <v>37</v>
      </c>
      <c r="G41" s="9" t="s">
        <v>44</v>
      </c>
      <c r="H41" s="2">
        <v>1.17</v>
      </c>
      <c r="I41" s="2">
        <v>1.34</v>
      </c>
      <c r="J41" s="2">
        <v>0.78</v>
      </c>
    </row>
    <row r="42" spans="1:10" x14ac:dyDescent="0.3">
      <c r="A42" s="3" t="s">
        <v>12</v>
      </c>
      <c r="B42" t="s">
        <v>31</v>
      </c>
      <c r="C42" s="1">
        <v>1156363286</v>
      </c>
      <c r="D42" s="1">
        <v>286581074</v>
      </c>
      <c r="E42" s="1">
        <v>1149650611</v>
      </c>
      <c r="F42" t="s">
        <v>34</v>
      </c>
      <c r="G42" s="9" t="s">
        <v>43</v>
      </c>
      <c r="H42" s="2">
        <v>1.01</v>
      </c>
      <c r="I42" s="2">
        <v>1.25</v>
      </c>
      <c r="J42" s="2">
        <v>0.86</v>
      </c>
    </row>
    <row r="43" spans="1:10" x14ac:dyDescent="0.3">
      <c r="A43" s="3" t="s">
        <v>10</v>
      </c>
      <c r="B43" t="s">
        <v>27</v>
      </c>
      <c r="C43" s="1">
        <v>1446913634</v>
      </c>
      <c r="D43" s="1">
        <v>331750649</v>
      </c>
      <c r="E43" s="1">
        <v>1924616419</v>
      </c>
      <c r="F43" t="s">
        <v>37</v>
      </c>
      <c r="G43" s="9" t="s">
        <v>41</v>
      </c>
      <c r="H43" s="2">
        <v>0.75</v>
      </c>
      <c r="I43" s="2">
        <v>0.86</v>
      </c>
      <c r="J43" s="2">
        <v>0.65</v>
      </c>
    </row>
    <row r="44" spans="1:10" x14ac:dyDescent="0.3">
      <c r="A44" s="3" t="s">
        <v>14</v>
      </c>
      <c r="B44" t="s">
        <v>27</v>
      </c>
      <c r="C44" s="1">
        <v>912237862</v>
      </c>
      <c r="D44" s="1">
        <v>105643567</v>
      </c>
      <c r="E44" s="1">
        <v>1084863340</v>
      </c>
      <c r="F44" t="s">
        <v>40</v>
      </c>
      <c r="G44" s="9" t="s">
        <v>43</v>
      </c>
      <c r="H44" s="2">
        <v>0.84</v>
      </c>
      <c r="I44" s="2">
        <v>0.49</v>
      </c>
      <c r="J44" s="2">
        <v>0.7</v>
      </c>
    </row>
    <row r="45" spans="1:10" x14ac:dyDescent="0.3">
      <c r="A45" s="3" t="s">
        <v>10</v>
      </c>
      <c r="B45" t="s">
        <v>25</v>
      </c>
      <c r="C45" s="1">
        <v>1278887655</v>
      </c>
      <c r="D45" s="1">
        <v>299754689</v>
      </c>
      <c r="E45" s="1">
        <v>1549114160</v>
      </c>
      <c r="F45" t="s">
        <v>34</v>
      </c>
      <c r="G45" s="9" t="s">
        <v>41</v>
      </c>
      <c r="H45" s="2">
        <v>0.83</v>
      </c>
      <c r="I45" s="2">
        <v>0.97</v>
      </c>
      <c r="J45" s="2">
        <v>0.65</v>
      </c>
    </row>
    <row r="46" spans="1:10" x14ac:dyDescent="0.3">
      <c r="A46" s="3" t="s">
        <v>13</v>
      </c>
      <c r="B46" t="s">
        <v>25</v>
      </c>
      <c r="C46" s="1">
        <v>439989053</v>
      </c>
      <c r="D46" s="1">
        <v>44984191</v>
      </c>
      <c r="E46" s="1">
        <v>507614311</v>
      </c>
      <c r="F46" t="s">
        <v>32</v>
      </c>
      <c r="G46" s="9" t="s">
        <v>42</v>
      </c>
      <c r="H46" s="2">
        <v>0.87</v>
      </c>
      <c r="I46" s="2">
        <v>0.44</v>
      </c>
      <c r="J46" s="2">
        <v>0.68</v>
      </c>
    </row>
    <row r="47" spans="1:10" x14ac:dyDescent="0.3">
      <c r="A47" s="3" t="s">
        <v>21</v>
      </c>
      <c r="B47" t="s">
        <v>27</v>
      </c>
      <c r="C47" s="1">
        <v>1201418016</v>
      </c>
      <c r="D47" s="1">
        <v>111481327</v>
      </c>
      <c r="E47" s="1">
        <v>1704538328</v>
      </c>
      <c r="F47" t="s">
        <v>33</v>
      </c>
      <c r="G47" s="9" t="s">
        <v>42</v>
      </c>
      <c r="H47" s="2">
        <v>0.7</v>
      </c>
      <c r="I47" s="2">
        <v>0.33</v>
      </c>
      <c r="J47" s="2">
        <v>1.05</v>
      </c>
    </row>
    <row r="48" spans="1:10" x14ac:dyDescent="0.3">
      <c r="A48" s="3" t="s">
        <v>11</v>
      </c>
      <c r="B48" t="s">
        <v>29</v>
      </c>
      <c r="C48" s="1">
        <v>1709367157</v>
      </c>
      <c r="D48" s="1">
        <v>261642132</v>
      </c>
      <c r="E48" s="1">
        <v>1750929768</v>
      </c>
      <c r="F48" t="s">
        <v>35</v>
      </c>
      <c r="G48" s="9" t="s">
        <v>42</v>
      </c>
      <c r="H48" s="2">
        <v>0.98</v>
      </c>
      <c r="I48" s="2">
        <v>0.75</v>
      </c>
      <c r="J48" s="2">
        <v>0.75</v>
      </c>
    </row>
    <row r="49" spans="1:10" x14ac:dyDescent="0.3">
      <c r="A49" s="3" t="s">
        <v>16</v>
      </c>
      <c r="B49" t="s">
        <v>26</v>
      </c>
      <c r="C49" s="1">
        <v>1620437863</v>
      </c>
      <c r="D49" s="1">
        <v>157952044</v>
      </c>
      <c r="E49" s="1">
        <v>1964727067</v>
      </c>
      <c r="F49" t="s">
        <v>39</v>
      </c>
      <c r="G49" s="9" t="s">
        <v>43</v>
      </c>
      <c r="H49" s="2">
        <v>0.82</v>
      </c>
      <c r="I49" s="2">
        <v>0.4</v>
      </c>
      <c r="J49" s="2">
        <v>0.88</v>
      </c>
    </row>
    <row r="50" spans="1:10" x14ac:dyDescent="0.3">
      <c r="A50" s="3" t="s">
        <v>13</v>
      </c>
      <c r="B50" t="s">
        <v>30</v>
      </c>
      <c r="C50" s="1">
        <v>1141802350</v>
      </c>
      <c r="D50" s="1">
        <v>280832026</v>
      </c>
      <c r="E50" s="1">
        <v>1008389542</v>
      </c>
      <c r="F50" t="s">
        <v>40</v>
      </c>
      <c r="G50" s="9" t="s">
        <v>42</v>
      </c>
      <c r="H50" s="2">
        <v>1.1299999999999999</v>
      </c>
      <c r="I50" s="2">
        <v>1.39</v>
      </c>
      <c r="J50" s="2">
        <v>1.03</v>
      </c>
    </row>
    <row r="51" spans="1:10" x14ac:dyDescent="0.3">
      <c r="A51" s="3" t="s">
        <v>16</v>
      </c>
      <c r="B51" t="s">
        <v>28</v>
      </c>
      <c r="C51" s="1">
        <v>1524108894</v>
      </c>
      <c r="D51" s="1">
        <v>345806415</v>
      </c>
      <c r="E51" s="1">
        <v>1384147285</v>
      </c>
      <c r="F51" t="s">
        <v>35</v>
      </c>
      <c r="G51" s="9" t="s">
        <v>43</v>
      </c>
      <c r="H51" s="2">
        <v>1.1000000000000001</v>
      </c>
      <c r="I51" s="2">
        <v>1.25</v>
      </c>
      <c r="J51" s="2">
        <v>0.73</v>
      </c>
    </row>
    <row r="52" spans="1:10" x14ac:dyDescent="0.3">
      <c r="A52" s="3" t="s">
        <v>15</v>
      </c>
      <c r="B52" t="s">
        <v>22</v>
      </c>
      <c r="C52" s="1">
        <v>658561131</v>
      </c>
      <c r="D52" s="1">
        <v>77587544</v>
      </c>
      <c r="E52" s="1">
        <v>583160453</v>
      </c>
      <c r="F52" t="s">
        <v>33</v>
      </c>
      <c r="G52" s="9" t="s">
        <v>41</v>
      </c>
      <c r="H52" s="2">
        <v>1.1299999999999999</v>
      </c>
      <c r="I52" s="2">
        <v>0.67</v>
      </c>
      <c r="J52" s="2">
        <v>0.77</v>
      </c>
    </row>
    <row r="53" spans="1:10" x14ac:dyDescent="0.3">
      <c r="A53" s="3" t="s">
        <v>18</v>
      </c>
      <c r="B53" t="s">
        <v>23</v>
      </c>
      <c r="C53" s="1">
        <v>1527341873</v>
      </c>
      <c r="D53" s="1">
        <v>207419947</v>
      </c>
      <c r="E53" s="1">
        <v>1917410477</v>
      </c>
      <c r="F53" t="s">
        <v>32</v>
      </c>
      <c r="G53" s="9" t="s">
        <v>44</v>
      </c>
      <c r="H53" s="2">
        <v>0.8</v>
      </c>
      <c r="I53" s="2">
        <v>0.54</v>
      </c>
      <c r="J53" s="2">
        <v>1.08</v>
      </c>
    </row>
    <row r="54" spans="1:10" x14ac:dyDescent="0.3">
      <c r="A54" s="3" t="s">
        <v>20</v>
      </c>
      <c r="B54" t="s">
        <v>26</v>
      </c>
      <c r="C54" s="1">
        <v>1412307640</v>
      </c>
      <c r="D54" s="1">
        <v>315541159</v>
      </c>
      <c r="E54" s="1">
        <v>1358302799</v>
      </c>
      <c r="F54" t="s">
        <v>34</v>
      </c>
      <c r="G54" s="9" t="s">
        <v>44</v>
      </c>
      <c r="H54" s="2">
        <v>1.04</v>
      </c>
      <c r="I54" s="2">
        <v>1.1599999999999999</v>
      </c>
      <c r="J54" s="2">
        <v>1.07</v>
      </c>
    </row>
    <row r="55" spans="1:10" x14ac:dyDescent="0.3">
      <c r="A55" s="3" t="s">
        <v>14</v>
      </c>
      <c r="B55" t="s">
        <v>25</v>
      </c>
      <c r="C55" s="1">
        <v>2063445690</v>
      </c>
      <c r="D55" s="1">
        <v>258197476</v>
      </c>
      <c r="E55" s="1">
        <v>1746806958</v>
      </c>
      <c r="F55" t="s">
        <v>40</v>
      </c>
      <c r="G55" s="9" t="s">
        <v>43</v>
      </c>
      <c r="H55" s="2">
        <v>1.18</v>
      </c>
      <c r="I55" s="2">
        <v>0.74</v>
      </c>
      <c r="J55" s="2">
        <v>0.9</v>
      </c>
    </row>
    <row r="56" spans="1:10" x14ac:dyDescent="0.3">
      <c r="A56" s="3" t="s">
        <v>17</v>
      </c>
      <c r="B56" t="s">
        <v>26</v>
      </c>
      <c r="C56" s="1">
        <v>2147986203</v>
      </c>
      <c r="D56" s="1">
        <v>214067839</v>
      </c>
      <c r="E56" s="1">
        <v>1801823594</v>
      </c>
      <c r="F56" t="s">
        <v>33</v>
      </c>
      <c r="G56" s="9" t="s">
        <v>44</v>
      </c>
      <c r="H56" s="2">
        <v>1.19</v>
      </c>
      <c r="I56" s="2">
        <v>0.59</v>
      </c>
      <c r="J56" s="2">
        <v>0.69</v>
      </c>
    </row>
    <row r="57" spans="1:10" x14ac:dyDescent="0.3">
      <c r="A57" s="3" t="s">
        <v>16</v>
      </c>
      <c r="B57" t="s">
        <v>24</v>
      </c>
      <c r="C57" s="1">
        <v>1879669897</v>
      </c>
      <c r="D57" s="1">
        <v>322432633</v>
      </c>
      <c r="E57" s="1">
        <v>1616520442</v>
      </c>
      <c r="F57" t="s">
        <v>32</v>
      </c>
      <c r="G57" s="9" t="s">
        <v>43</v>
      </c>
      <c r="H57" s="2">
        <v>1.1599999999999999</v>
      </c>
      <c r="I57" s="2">
        <v>1</v>
      </c>
      <c r="J57" s="2">
        <v>1.07</v>
      </c>
    </row>
    <row r="58" spans="1:10" x14ac:dyDescent="0.3">
      <c r="A58" s="3" t="s">
        <v>15</v>
      </c>
      <c r="B58" t="s">
        <v>23</v>
      </c>
      <c r="C58" s="1">
        <v>1048241347</v>
      </c>
      <c r="D58" s="1">
        <v>202227146</v>
      </c>
      <c r="E58" s="1">
        <v>1426204113</v>
      </c>
      <c r="F58" t="s">
        <v>35</v>
      </c>
      <c r="G58" s="9" t="s">
        <v>41</v>
      </c>
      <c r="H58" s="2">
        <v>0.73</v>
      </c>
      <c r="I58" s="2">
        <v>0.71</v>
      </c>
      <c r="J58" s="2">
        <v>0.91</v>
      </c>
    </row>
    <row r="59" spans="1:10" x14ac:dyDescent="0.3">
      <c r="A59" s="3" t="s">
        <v>10</v>
      </c>
      <c r="B59" t="s">
        <v>22</v>
      </c>
      <c r="C59" s="1">
        <v>1358058538</v>
      </c>
      <c r="D59" s="1">
        <v>202930334</v>
      </c>
      <c r="E59" s="1">
        <v>1589037295</v>
      </c>
      <c r="F59" t="s">
        <v>37</v>
      </c>
      <c r="G59" s="9" t="s">
        <v>41</v>
      </c>
      <c r="H59" s="2">
        <v>0.85</v>
      </c>
      <c r="I59" s="2">
        <v>0.64</v>
      </c>
      <c r="J59" s="2">
        <v>0.95</v>
      </c>
    </row>
    <row r="60" spans="1:10" x14ac:dyDescent="0.3">
      <c r="A60" s="3" t="s">
        <v>11</v>
      </c>
      <c r="B60" t="s">
        <v>28</v>
      </c>
      <c r="C60" s="1">
        <v>1448446435</v>
      </c>
      <c r="D60" s="1">
        <v>209234891</v>
      </c>
      <c r="E60" s="1">
        <v>1402901631</v>
      </c>
      <c r="F60" t="s">
        <v>39</v>
      </c>
      <c r="G60" s="9" t="s">
        <v>42</v>
      </c>
      <c r="H60" s="2">
        <v>1.03</v>
      </c>
      <c r="I60" s="2">
        <v>0.75</v>
      </c>
      <c r="J60" s="2">
        <v>1.05</v>
      </c>
    </row>
    <row r="61" spans="1:10" x14ac:dyDescent="0.3">
      <c r="A61" s="3" t="s">
        <v>19</v>
      </c>
      <c r="B61" t="s">
        <v>30</v>
      </c>
      <c r="C61" s="1">
        <v>1336323678</v>
      </c>
      <c r="D61" s="1">
        <v>106998113</v>
      </c>
      <c r="E61" s="1">
        <v>1372039786</v>
      </c>
      <c r="F61" t="s">
        <v>37</v>
      </c>
      <c r="G61" s="9" t="s">
        <v>41</v>
      </c>
      <c r="H61" s="2">
        <v>0.97</v>
      </c>
      <c r="I61" s="2">
        <v>0.39</v>
      </c>
      <c r="J61" s="2">
        <v>0.7</v>
      </c>
    </row>
    <row r="62" spans="1:10" x14ac:dyDescent="0.3">
      <c r="A62" s="3" t="s">
        <v>19</v>
      </c>
      <c r="B62" t="s">
        <v>30</v>
      </c>
      <c r="C62" s="1">
        <v>1380008391</v>
      </c>
      <c r="D62" s="1">
        <v>268903783</v>
      </c>
      <c r="E62" s="1">
        <v>1498554532</v>
      </c>
      <c r="F62" t="s">
        <v>35</v>
      </c>
      <c r="G62" s="9" t="s">
        <v>41</v>
      </c>
      <c r="H62" s="2">
        <v>0.92</v>
      </c>
      <c r="I62" s="2">
        <v>0.9</v>
      </c>
      <c r="J62" s="2">
        <v>0.83</v>
      </c>
    </row>
    <row r="63" spans="1:10" x14ac:dyDescent="0.3">
      <c r="A63" s="3" t="s">
        <v>15</v>
      </c>
      <c r="B63" t="s">
        <v>28</v>
      </c>
      <c r="C63" s="1">
        <v>1062526766</v>
      </c>
      <c r="D63" s="1">
        <v>199329963</v>
      </c>
      <c r="E63" s="1">
        <v>1109426664</v>
      </c>
      <c r="F63" t="s">
        <v>36</v>
      </c>
      <c r="G63" s="9" t="s">
        <v>41</v>
      </c>
      <c r="H63" s="2">
        <v>0.96</v>
      </c>
      <c r="I63" s="2">
        <v>0.9</v>
      </c>
      <c r="J63" s="2">
        <v>0.64</v>
      </c>
    </row>
    <row r="64" spans="1:10" x14ac:dyDescent="0.3">
      <c r="A64" s="3" t="s">
        <v>18</v>
      </c>
      <c r="B64" t="s">
        <v>25</v>
      </c>
      <c r="C64" s="1">
        <v>717684644</v>
      </c>
      <c r="D64" s="1">
        <v>63053140</v>
      </c>
      <c r="E64" s="1">
        <v>927628276</v>
      </c>
      <c r="F64" t="s">
        <v>39</v>
      </c>
      <c r="G64" s="9" t="s">
        <v>44</v>
      </c>
      <c r="H64" s="2">
        <v>0.77</v>
      </c>
      <c r="I64" s="2">
        <v>0.34</v>
      </c>
      <c r="J64" s="2">
        <v>0.9</v>
      </c>
    </row>
    <row r="65" spans="1:10" x14ac:dyDescent="0.3">
      <c r="A65" s="3" t="s">
        <v>14</v>
      </c>
      <c r="B65" t="s">
        <v>31</v>
      </c>
      <c r="C65" s="1">
        <v>1829877116</v>
      </c>
      <c r="D65" s="1">
        <v>369852577</v>
      </c>
      <c r="E65" s="1">
        <v>1852410862</v>
      </c>
      <c r="F65" t="s">
        <v>33</v>
      </c>
      <c r="G65" s="9" t="s">
        <v>43</v>
      </c>
      <c r="H65" s="2">
        <v>0.99</v>
      </c>
      <c r="I65" s="2">
        <v>1</v>
      </c>
      <c r="J65" s="2">
        <v>0.84</v>
      </c>
    </row>
    <row r="66" spans="1:10" x14ac:dyDescent="0.3">
      <c r="A66" s="3" t="s">
        <v>18</v>
      </c>
      <c r="B66" t="s">
        <v>28</v>
      </c>
      <c r="C66" s="1">
        <v>793919298</v>
      </c>
      <c r="D66" s="1">
        <v>93049718</v>
      </c>
      <c r="E66" s="1">
        <v>728894474</v>
      </c>
      <c r="F66" t="s">
        <v>32</v>
      </c>
      <c r="G66" s="9" t="s">
        <v>44</v>
      </c>
      <c r="H66" s="2">
        <v>1.0900000000000001</v>
      </c>
      <c r="I66" s="2">
        <v>0.64</v>
      </c>
      <c r="J66" s="2">
        <v>0.86</v>
      </c>
    </row>
    <row r="67" spans="1:10" x14ac:dyDescent="0.3">
      <c r="A67" s="3" t="s">
        <v>16</v>
      </c>
      <c r="B67" t="s">
        <v>27</v>
      </c>
      <c r="C67" s="1">
        <v>706026922</v>
      </c>
      <c r="D67" s="1">
        <v>152671842</v>
      </c>
      <c r="E67" s="1">
        <v>760615611</v>
      </c>
      <c r="F67" t="s">
        <v>39</v>
      </c>
      <c r="G67" s="9" t="s">
        <v>43</v>
      </c>
      <c r="H67" s="2">
        <v>0.93</v>
      </c>
      <c r="I67" s="2">
        <v>1</v>
      </c>
      <c r="J67" s="2">
        <v>0.86</v>
      </c>
    </row>
    <row r="68" spans="1:10" x14ac:dyDescent="0.3">
      <c r="A68" s="3" t="s">
        <v>11</v>
      </c>
      <c r="B68" t="s">
        <v>30</v>
      </c>
      <c r="C68" s="1">
        <v>1459594779</v>
      </c>
      <c r="D68" s="1">
        <v>295241830</v>
      </c>
      <c r="E68" s="1">
        <v>1450419194</v>
      </c>
      <c r="F68" t="s">
        <v>35</v>
      </c>
      <c r="G68" s="9" t="s">
        <v>42</v>
      </c>
      <c r="H68" s="2">
        <v>1.01</v>
      </c>
      <c r="I68" s="2">
        <v>1.02</v>
      </c>
      <c r="J68" s="2">
        <v>0.81</v>
      </c>
    </row>
    <row r="69" spans="1:10" x14ac:dyDescent="0.3">
      <c r="A69" s="3" t="s">
        <v>11</v>
      </c>
      <c r="B69" t="s">
        <v>31</v>
      </c>
      <c r="C69" s="1">
        <v>1405456911</v>
      </c>
      <c r="D69" s="1">
        <v>292056832</v>
      </c>
      <c r="E69" s="1">
        <v>1519355588</v>
      </c>
      <c r="F69" t="s">
        <v>40</v>
      </c>
      <c r="G69" s="9" t="s">
        <v>42</v>
      </c>
      <c r="H69" s="2">
        <v>0.93</v>
      </c>
      <c r="I69" s="2">
        <v>0.96</v>
      </c>
      <c r="J69" s="2">
        <v>0.74</v>
      </c>
    </row>
    <row r="70" spans="1:10" x14ac:dyDescent="0.3">
      <c r="A70" s="3" t="s">
        <v>11</v>
      </c>
      <c r="B70" t="s">
        <v>31</v>
      </c>
      <c r="C70" s="1">
        <v>1002448627</v>
      </c>
      <c r="D70" s="1">
        <v>201795541</v>
      </c>
      <c r="E70" s="1">
        <v>1089693527</v>
      </c>
      <c r="F70" t="s">
        <v>39</v>
      </c>
      <c r="G70" s="9" t="s">
        <v>42</v>
      </c>
      <c r="H70" s="2">
        <v>0.92</v>
      </c>
      <c r="I70" s="2">
        <v>0.93</v>
      </c>
      <c r="J70" s="2">
        <v>0.73</v>
      </c>
    </row>
    <row r="71" spans="1:10" x14ac:dyDescent="0.3">
      <c r="A71" s="3" t="s">
        <v>17</v>
      </c>
      <c r="B71" t="s">
        <v>27</v>
      </c>
      <c r="C71" s="1">
        <v>618127009</v>
      </c>
      <c r="D71" s="1">
        <v>89700118</v>
      </c>
      <c r="E71" s="1">
        <v>797156035</v>
      </c>
      <c r="F71" t="s">
        <v>36</v>
      </c>
      <c r="G71" s="9" t="s">
        <v>44</v>
      </c>
      <c r="H71" s="2">
        <v>0.78</v>
      </c>
      <c r="I71" s="2">
        <v>0.56000000000000005</v>
      </c>
      <c r="J71" s="2">
        <v>0.95</v>
      </c>
    </row>
    <row r="72" spans="1:10" x14ac:dyDescent="0.3">
      <c r="A72" s="3" t="s">
        <v>14</v>
      </c>
      <c r="B72" t="s">
        <v>24</v>
      </c>
      <c r="C72" s="1">
        <v>1175825972</v>
      </c>
      <c r="D72" s="1">
        <v>177175362</v>
      </c>
      <c r="E72" s="1">
        <v>1210562369</v>
      </c>
      <c r="F72" t="s">
        <v>33</v>
      </c>
      <c r="G72" s="9" t="s">
        <v>43</v>
      </c>
      <c r="H72" s="2">
        <v>0.97</v>
      </c>
      <c r="I72" s="2">
        <v>0.73</v>
      </c>
      <c r="J72" s="2">
        <v>1.01</v>
      </c>
    </row>
    <row r="73" spans="1:10" x14ac:dyDescent="0.3">
      <c r="A73" s="3" t="s">
        <v>13</v>
      </c>
      <c r="B73" t="s">
        <v>30</v>
      </c>
      <c r="C73" s="1">
        <v>1545624984</v>
      </c>
      <c r="D73" s="1">
        <v>125199231</v>
      </c>
      <c r="E73" s="1">
        <v>1736285615</v>
      </c>
      <c r="F73" t="s">
        <v>32</v>
      </c>
      <c r="G73" s="9" t="s">
        <v>42</v>
      </c>
      <c r="H73" s="2">
        <v>0.89</v>
      </c>
      <c r="I73" s="2">
        <v>0.36</v>
      </c>
      <c r="J73" s="2">
        <v>0.75</v>
      </c>
    </row>
    <row r="74" spans="1:10" x14ac:dyDescent="0.3">
      <c r="A74" s="3" t="s">
        <v>13</v>
      </c>
      <c r="B74" t="s">
        <v>24</v>
      </c>
      <c r="C74" s="1">
        <v>1839980948</v>
      </c>
      <c r="D74" s="1">
        <v>428030957</v>
      </c>
      <c r="E74" s="1">
        <v>1672810192</v>
      </c>
      <c r="F74" t="s">
        <v>34</v>
      </c>
      <c r="G74" s="9" t="s">
        <v>42</v>
      </c>
      <c r="H74" s="2">
        <v>1.1000000000000001</v>
      </c>
      <c r="I74" s="2">
        <v>1.28</v>
      </c>
      <c r="J74" s="2">
        <v>0.71</v>
      </c>
    </row>
    <row r="75" spans="1:10" x14ac:dyDescent="0.3">
      <c r="A75" s="3" t="s">
        <v>13</v>
      </c>
      <c r="B75" t="s">
        <v>31</v>
      </c>
      <c r="C75" s="1">
        <v>1158922448</v>
      </c>
      <c r="D75" s="1">
        <v>226516167</v>
      </c>
      <c r="E75" s="1">
        <v>1335064486</v>
      </c>
      <c r="F75" t="s">
        <v>32</v>
      </c>
      <c r="G75" s="9" t="s">
        <v>42</v>
      </c>
      <c r="H75" s="2">
        <v>0.87</v>
      </c>
      <c r="I75" s="2">
        <v>0.85</v>
      </c>
      <c r="J75" s="2">
        <v>0.96</v>
      </c>
    </row>
    <row r="76" spans="1:10" x14ac:dyDescent="0.3">
      <c r="A76" s="3" t="s">
        <v>21</v>
      </c>
      <c r="B76" t="s">
        <v>28</v>
      </c>
      <c r="C76" s="1">
        <v>643529354</v>
      </c>
      <c r="D76" s="1">
        <v>116235412</v>
      </c>
      <c r="E76" s="1">
        <v>557910012</v>
      </c>
      <c r="F76" t="s">
        <v>34</v>
      </c>
      <c r="G76" s="9" t="s">
        <v>42</v>
      </c>
      <c r="H76" s="2">
        <v>1.1499999999999999</v>
      </c>
      <c r="I76" s="2">
        <v>1.04</v>
      </c>
      <c r="J76" s="2">
        <v>0.61</v>
      </c>
    </row>
    <row r="77" spans="1:10" x14ac:dyDescent="0.3">
      <c r="A77" s="3" t="s">
        <v>10</v>
      </c>
      <c r="B77" t="s">
        <v>24</v>
      </c>
      <c r="C77" s="1">
        <v>1179566410</v>
      </c>
      <c r="D77" s="1">
        <v>146533493</v>
      </c>
      <c r="E77" s="1">
        <v>1491489870</v>
      </c>
      <c r="F77" t="s">
        <v>40</v>
      </c>
      <c r="G77" s="9" t="s">
        <v>41</v>
      </c>
      <c r="H77" s="2">
        <v>0.79</v>
      </c>
      <c r="I77" s="2">
        <v>0.49</v>
      </c>
      <c r="J77" s="2">
        <v>0.7</v>
      </c>
    </row>
    <row r="78" spans="1:10" x14ac:dyDescent="0.3">
      <c r="A78" s="3" t="s">
        <v>17</v>
      </c>
      <c r="B78" t="s">
        <v>26</v>
      </c>
      <c r="C78" s="1">
        <v>1180970839</v>
      </c>
      <c r="D78" s="1">
        <v>261498981</v>
      </c>
      <c r="E78" s="1">
        <v>1097551532</v>
      </c>
      <c r="F78" t="s">
        <v>33</v>
      </c>
      <c r="G78" s="9" t="s">
        <v>44</v>
      </c>
      <c r="H78" s="2">
        <v>1.08</v>
      </c>
      <c r="I78" s="2">
        <v>1.19</v>
      </c>
      <c r="J78" s="2">
        <v>1.01</v>
      </c>
    </row>
    <row r="79" spans="1:10" x14ac:dyDescent="0.3">
      <c r="A79" s="3" t="s">
        <v>21</v>
      </c>
      <c r="B79" t="s">
        <v>29</v>
      </c>
      <c r="C79" s="1">
        <v>734195373</v>
      </c>
      <c r="D79" s="1">
        <v>102415304</v>
      </c>
      <c r="E79" s="1">
        <v>611852976</v>
      </c>
      <c r="F79" t="s">
        <v>34</v>
      </c>
      <c r="G79" s="9" t="s">
        <v>42</v>
      </c>
      <c r="H79" s="2">
        <v>1.2</v>
      </c>
      <c r="I79" s="2">
        <v>0.84</v>
      </c>
      <c r="J79" s="2">
        <v>0.63</v>
      </c>
    </row>
    <row r="80" spans="1:10" x14ac:dyDescent="0.3">
      <c r="A80" s="3" t="s">
        <v>10</v>
      </c>
      <c r="B80" t="s">
        <v>29</v>
      </c>
      <c r="C80" s="1">
        <v>824499898</v>
      </c>
      <c r="D80" s="1">
        <v>68816556</v>
      </c>
      <c r="E80" s="1">
        <v>1031036848</v>
      </c>
      <c r="F80" t="s">
        <v>32</v>
      </c>
      <c r="G80" s="9" t="s">
        <v>41</v>
      </c>
      <c r="H80" s="2">
        <v>0.8</v>
      </c>
      <c r="I80" s="2">
        <v>0.33</v>
      </c>
      <c r="J80" s="2">
        <v>0.71</v>
      </c>
    </row>
    <row r="81" spans="1:10" x14ac:dyDescent="0.3">
      <c r="A81" s="3" t="s">
        <v>21</v>
      </c>
      <c r="B81" t="s">
        <v>22</v>
      </c>
      <c r="C81" s="1">
        <v>1573184608</v>
      </c>
      <c r="D81" s="1">
        <v>330955056</v>
      </c>
      <c r="E81" s="1">
        <v>1498652876</v>
      </c>
      <c r="F81" t="s">
        <v>39</v>
      </c>
      <c r="G81" s="9" t="s">
        <v>42</v>
      </c>
      <c r="H81" s="2">
        <v>1.05</v>
      </c>
      <c r="I81" s="2">
        <v>1.1000000000000001</v>
      </c>
      <c r="J81" s="2">
        <v>0.9</v>
      </c>
    </row>
    <row r="82" spans="1:10" x14ac:dyDescent="0.3">
      <c r="A82" s="3" t="s">
        <v>15</v>
      </c>
      <c r="B82" t="s">
        <v>22</v>
      </c>
      <c r="C82" s="1">
        <v>880692717</v>
      </c>
      <c r="D82" s="1">
        <v>74299933</v>
      </c>
      <c r="E82" s="1">
        <v>1167950995</v>
      </c>
      <c r="F82" t="s">
        <v>40</v>
      </c>
      <c r="G82" s="9" t="s">
        <v>41</v>
      </c>
      <c r="H82" s="2">
        <v>0.75</v>
      </c>
      <c r="I82" s="2">
        <v>0.32</v>
      </c>
      <c r="J82" s="2">
        <v>0.88</v>
      </c>
    </row>
    <row r="83" spans="1:10" x14ac:dyDescent="0.3">
      <c r="A83" s="3" t="s">
        <v>13</v>
      </c>
      <c r="B83" t="s">
        <v>24</v>
      </c>
      <c r="C83" s="1">
        <v>660580833</v>
      </c>
      <c r="D83" s="1">
        <v>146118615</v>
      </c>
      <c r="E83" s="1">
        <v>663201187</v>
      </c>
      <c r="F83" t="s">
        <v>39</v>
      </c>
      <c r="G83" s="9" t="s">
        <v>42</v>
      </c>
      <c r="H83" s="2">
        <v>1</v>
      </c>
      <c r="I83" s="2">
        <v>1.1000000000000001</v>
      </c>
      <c r="J83" s="2">
        <v>0.65</v>
      </c>
    </row>
    <row r="84" spans="1:10" x14ac:dyDescent="0.3">
      <c r="A84" s="3" t="s">
        <v>20</v>
      </c>
      <c r="B84" t="s">
        <v>30</v>
      </c>
      <c r="C84" s="1">
        <v>1871970922</v>
      </c>
      <c r="D84" s="1">
        <v>260250083</v>
      </c>
      <c r="E84" s="1">
        <v>1715330896</v>
      </c>
      <c r="F84" t="s">
        <v>36</v>
      </c>
      <c r="G84" s="9" t="s">
        <v>44</v>
      </c>
      <c r="H84" s="2">
        <v>1.0900000000000001</v>
      </c>
      <c r="I84" s="2">
        <v>0.76</v>
      </c>
      <c r="J84" s="2">
        <v>0.93</v>
      </c>
    </row>
    <row r="85" spans="1:10" x14ac:dyDescent="0.3">
      <c r="A85" s="3" t="s">
        <v>14</v>
      </c>
      <c r="B85" t="s">
        <v>27</v>
      </c>
      <c r="C85" s="1">
        <v>592954705</v>
      </c>
      <c r="D85" s="1">
        <v>130329224</v>
      </c>
      <c r="E85" s="1">
        <v>527170279</v>
      </c>
      <c r="F85" t="s">
        <v>35</v>
      </c>
      <c r="G85" s="9" t="s">
        <v>43</v>
      </c>
      <c r="H85" s="2">
        <v>1.1200000000000001</v>
      </c>
      <c r="I85" s="2">
        <v>1.24</v>
      </c>
      <c r="J85" s="2">
        <v>0.81</v>
      </c>
    </row>
    <row r="86" spans="1:10" x14ac:dyDescent="0.3">
      <c r="A86" s="3" t="s">
        <v>17</v>
      </c>
      <c r="B86" t="s">
        <v>31</v>
      </c>
      <c r="C86" s="1">
        <v>1131037085</v>
      </c>
      <c r="D86" s="1">
        <v>190802503</v>
      </c>
      <c r="E86" s="1">
        <v>1435201525</v>
      </c>
      <c r="F86" t="s">
        <v>40</v>
      </c>
      <c r="G86" s="9" t="s">
        <v>44</v>
      </c>
      <c r="H86" s="2">
        <v>0.79</v>
      </c>
      <c r="I86" s="2">
        <v>0.66</v>
      </c>
      <c r="J86" s="2">
        <v>0.73</v>
      </c>
    </row>
    <row r="87" spans="1:10" x14ac:dyDescent="0.3">
      <c r="A87" s="3" t="s">
        <v>11</v>
      </c>
      <c r="B87" t="s">
        <v>31</v>
      </c>
      <c r="C87" s="1">
        <v>1597397585</v>
      </c>
      <c r="D87" s="1">
        <v>288682786</v>
      </c>
      <c r="E87" s="1">
        <v>1435389095</v>
      </c>
      <c r="F87" t="s">
        <v>38</v>
      </c>
      <c r="G87" s="9" t="s">
        <v>42</v>
      </c>
      <c r="H87" s="2">
        <v>1.1100000000000001</v>
      </c>
      <c r="I87" s="2">
        <v>1.01</v>
      </c>
      <c r="J87" s="2">
        <v>1.02</v>
      </c>
    </row>
    <row r="88" spans="1:10" x14ac:dyDescent="0.3">
      <c r="A88" s="3" t="s">
        <v>14</v>
      </c>
      <c r="B88" t="s">
        <v>25</v>
      </c>
      <c r="C88" s="1">
        <v>1100713479</v>
      </c>
      <c r="D88" s="1">
        <v>194688079</v>
      </c>
      <c r="E88" s="1">
        <v>1023692741</v>
      </c>
      <c r="F88" t="s">
        <v>38</v>
      </c>
      <c r="G88" s="9" t="s">
        <v>43</v>
      </c>
      <c r="H88" s="2">
        <v>1.08</v>
      </c>
      <c r="I88" s="2">
        <v>0.95</v>
      </c>
      <c r="J88" s="2">
        <v>0.79</v>
      </c>
    </row>
    <row r="89" spans="1:10" x14ac:dyDescent="0.3">
      <c r="A89" s="3" t="s">
        <v>16</v>
      </c>
      <c r="B89" t="s">
        <v>31</v>
      </c>
      <c r="C89" s="1">
        <v>840429828</v>
      </c>
      <c r="D89" s="1">
        <v>117929318</v>
      </c>
      <c r="E89" s="1">
        <v>890498115</v>
      </c>
      <c r="F89" t="s">
        <v>35</v>
      </c>
      <c r="G89" s="9" t="s">
        <v>43</v>
      </c>
      <c r="H89" s="2">
        <v>0.94</v>
      </c>
      <c r="I89" s="2">
        <v>0.66</v>
      </c>
      <c r="J89" s="2">
        <v>0.77</v>
      </c>
    </row>
    <row r="90" spans="1:10" x14ac:dyDescent="0.3">
      <c r="A90" s="3" t="s">
        <v>19</v>
      </c>
      <c r="B90" t="s">
        <v>25</v>
      </c>
      <c r="C90" s="1">
        <v>500047426</v>
      </c>
      <c r="D90" s="1">
        <v>56245130</v>
      </c>
      <c r="E90" s="1">
        <v>521799349</v>
      </c>
      <c r="F90" t="s">
        <v>34</v>
      </c>
      <c r="G90" s="9" t="s">
        <v>41</v>
      </c>
      <c r="H90" s="2">
        <v>0.96</v>
      </c>
      <c r="I90" s="2">
        <v>0.54</v>
      </c>
      <c r="J90" s="2">
        <v>0.96</v>
      </c>
    </row>
    <row r="91" spans="1:10" x14ac:dyDescent="0.3">
      <c r="A91" s="3" t="s">
        <v>21</v>
      </c>
      <c r="B91" t="s">
        <v>27</v>
      </c>
      <c r="C91" s="1">
        <v>1860214112</v>
      </c>
      <c r="D91" s="1">
        <v>373927608</v>
      </c>
      <c r="E91" s="1">
        <v>1983072271</v>
      </c>
      <c r="F91" t="s">
        <v>39</v>
      </c>
      <c r="G91" s="9" t="s">
        <v>42</v>
      </c>
      <c r="H91" s="2">
        <v>0.94</v>
      </c>
      <c r="I91" s="2">
        <v>0.94</v>
      </c>
      <c r="J91" s="2">
        <v>1</v>
      </c>
    </row>
    <row r="92" spans="1:10" x14ac:dyDescent="0.3">
      <c r="A92" s="3" t="s">
        <v>14</v>
      </c>
      <c r="B92" t="s">
        <v>25</v>
      </c>
      <c r="C92" s="1">
        <v>1431247630</v>
      </c>
      <c r="D92" s="1">
        <v>189003441</v>
      </c>
      <c r="E92" s="1">
        <v>1368444803</v>
      </c>
      <c r="F92" t="s">
        <v>39</v>
      </c>
      <c r="G92" s="9" t="s">
        <v>43</v>
      </c>
      <c r="H92" s="2">
        <v>1.05</v>
      </c>
      <c r="I92" s="2">
        <v>0.69</v>
      </c>
      <c r="J92" s="2">
        <v>0.78</v>
      </c>
    </row>
    <row r="93" spans="1:10" x14ac:dyDescent="0.3">
      <c r="A93" s="3" t="s">
        <v>11</v>
      </c>
      <c r="B93" t="s">
        <v>27</v>
      </c>
      <c r="C93" s="1">
        <v>1694133818</v>
      </c>
      <c r="D93" s="1">
        <v>294044098</v>
      </c>
      <c r="E93" s="1">
        <v>1413762478</v>
      </c>
      <c r="F93" t="s">
        <v>35</v>
      </c>
      <c r="G93" s="9" t="s">
        <v>42</v>
      </c>
      <c r="H93" s="2">
        <v>1.2</v>
      </c>
      <c r="I93" s="2">
        <v>1.04</v>
      </c>
      <c r="J93" s="2">
        <v>0.95</v>
      </c>
    </row>
    <row r="94" spans="1:10" x14ac:dyDescent="0.3">
      <c r="A94" s="3" t="s">
        <v>20</v>
      </c>
      <c r="B94" t="s">
        <v>25</v>
      </c>
      <c r="C94" s="1">
        <v>756584602</v>
      </c>
      <c r="D94" s="1">
        <v>85296841</v>
      </c>
      <c r="E94" s="1">
        <v>995076677</v>
      </c>
      <c r="F94" t="s">
        <v>37</v>
      </c>
      <c r="G94" s="9" t="s">
        <v>44</v>
      </c>
      <c r="H94" s="2">
        <v>0.76</v>
      </c>
      <c r="I94" s="2">
        <v>0.43</v>
      </c>
      <c r="J94" s="2">
        <v>0.97</v>
      </c>
    </row>
    <row r="95" spans="1:10" x14ac:dyDescent="0.3">
      <c r="A95" s="3" t="s">
        <v>15</v>
      </c>
      <c r="B95" t="s">
        <v>28</v>
      </c>
      <c r="C95" s="1">
        <v>1031537217</v>
      </c>
      <c r="D95" s="1">
        <v>131010318</v>
      </c>
      <c r="E95" s="1">
        <v>964682477</v>
      </c>
      <c r="F95" t="s">
        <v>39</v>
      </c>
      <c r="G95" s="9" t="s">
        <v>41</v>
      </c>
      <c r="H95" s="2">
        <v>1.07</v>
      </c>
      <c r="I95" s="2">
        <v>0.68</v>
      </c>
      <c r="J95" s="2">
        <v>1.0900000000000001</v>
      </c>
    </row>
    <row r="96" spans="1:10" x14ac:dyDescent="0.3">
      <c r="A96" s="3" t="s">
        <v>11</v>
      </c>
      <c r="B96" t="s">
        <v>30</v>
      </c>
      <c r="C96" s="1">
        <v>799144959</v>
      </c>
      <c r="D96" s="1">
        <v>104178054</v>
      </c>
      <c r="E96" s="1">
        <v>715878175</v>
      </c>
      <c r="F96" t="s">
        <v>37</v>
      </c>
      <c r="G96" s="9" t="s">
        <v>42</v>
      </c>
      <c r="H96" s="2">
        <v>1.1200000000000001</v>
      </c>
      <c r="I96" s="2">
        <v>0.73</v>
      </c>
      <c r="J96" s="2">
        <v>0.69</v>
      </c>
    </row>
    <row r="97" spans="1:10" x14ac:dyDescent="0.3">
      <c r="A97" s="3" t="s">
        <v>16</v>
      </c>
      <c r="B97" t="s">
        <v>27</v>
      </c>
      <c r="C97" s="1">
        <v>787140470</v>
      </c>
      <c r="D97" s="1">
        <v>70267575</v>
      </c>
      <c r="E97" s="1">
        <v>1089079101</v>
      </c>
      <c r="F97" t="s">
        <v>40</v>
      </c>
      <c r="G97" s="9" t="s">
        <v>43</v>
      </c>
      <c r="H97" s="2">
        <v>0.72</v>
      </c>
      <c r="I97" s="2">
        <v>0.32</v>
      </c>
      <c r="J97" s="2">
        <v>0.95</v>
      </c>
    </row>
    <row r="98" spans="1:10" x14ac:dyDescent="0.3">
      <c r="A98" s="3" t="s">
        <v>12</v>
      </c>
      <c r="B98" t="s">
        <v>31</v>
      </c>
      <c r="C98" s="1">
        <v>519514228</v>
      </c>
      <c r="D98" s="1">
        <v>83017064</v>
      </c>
      <c r="E98" s="1">
        <v>526339745</v>
      </c>
      <c r="F98" t="s">
        <v>36</v>
      </c>
      <c r="G98" s="9" t="s">
        <v>43</v>
      </c>
      <c r="H98" s="2">
        <v>0.99</v>
      </c>
      <c r="I98" s="2">
        <v>0.79</v>
      </c>
      <c r="J98" s="2">
        <v>0.77</v>
      </c>
    </row>
    <row r="99" spans="1:10" x14ac:dyDescent="0.3">
      <c r="A99" s="3" t="s">
        <v>16</v>
      </c>
      <c r="B99" t="s">
        <v>25</v>
      </c>
      <c r="C99" s="1">
        <v>827738370</v>
      </c>
      <c r="D99" s="1">
        <v>122604826</v>
      </c>
      <c r="E99" s="1">
        <v>745000263</v>
      </c>
      <c r="F99" t="s">
        <v>38</v>
      </c>
      <c r="G99" s="9" t="s">
        <v>43</v>
      </c>
      <c r="H99" s="2">
        <v>1.1100000000000001</v>
      </c>
      <c r="I99" s="2">
        <v>0.82</v>
      </c>
      <c r="J99" s="2">
        <v>0.88</v>
      </c>
    </row>
    <row r="100" spans="1:10" x14ac:dyDescent="0.3">
      <c r="A100" s="3" t="s">
        <v>10</v>
      </c>
      <c r="B100" t="s">
        <v>29</v>
      </c>
      <c r="C100" s="1">
        <v>907009777</v>
      </c>
      <c r="D100" s="1">
        <v>218908042</v>
      </c>
      <c r="E100" s="1">
        <v>820399365</v>
      </c>
      <c r="F100" t="s">
        <v>40</v>
      </c>
      <c r="G100" s="9" t="s">
        <v>41</v>
      </c>
      <c r="H100" s="2">
        <v>1.1100000000000001</v>
      </c>
      <c r="I100" s="2">
        <v>1.33</v>
      </c>
      <c r="J100" s="2">
        <v>1.0900000000000001</v>
      </c>
    </row>
    <row r="101" spans="1:10" x14ac:dyDescent="0.3">
      <c r="A101" s="3" t="s">
        <v>14</v>
      </c>
      <c r="B101" t="s">
        <v>27</v>
      </c>
      <c r="C101" s="1">
        <v>1798567413</v>
      </c>
      <c r="D101" s="1">
        <v>332970799</v>
      </c>
      <c r="E101" s="1">
        <v>1802057237</v>
      </c>
      <c r="F101" t="s">
        <v>33</v>
      </c>
      <c r="G101" s="9" t="s">
        <v>43</v>
      </c>
      <c r="H101" s="2">
        <v>1</v>
      </c>
      <c r="I101" s="2">
        <v>0.92</v>
      </c>
      <c r="J101" s="2">
        <v>0.86</v>
      </c>
    </row>
    <row r="102" spans="1:10" x14ac:dyDescent="0.3">
      <c r="A102" s="3" t="s">
        <v>21</v>
      </c>
      <c r="B102" t="s">
        <v>31</v>
      </c>
      <c r="C102" s="1">
        <v>2107826052</v>
      </c>
      <c r="D102" s="1">
        <v>278053118</v>
      </c>
      <c r="E102" s="1">
        <v>1763848103</v>
      </c>
      <c r="F102" t="s">
        <v>37</v>
      </c>
      <c r="G102" s="9" t="s">
        <v>42</v>
      </c>
      <c r="H102" s="2">
        <v>1.2</v>
      </c>
      <c r="I102" s="2">
        <v>0.79</v>
      </c>
      <c r="J102" s="2">
        <v>0.63</v>
      </c>
    </row>
    <row r="103" spans="1:10" x14ac:dyDescent="0.3">
      <c r="A103" s="3" t="s">
        <v>15</v>
      </c>
      <c r="B103" t="s">
        <v>22</v>
      </c>
      <c r="C103" s="1">
        <v>1484787919</v>
      </c>
      <c r="D103" s="1">
        <v>285484305</v>
      </c>
      <c r="E103" s="1">
        <v>1843283301</v>
      </c>
      <c r="F103" t="s">
        <v>39</v>
      </c>
      <c r="G103" s="9" t="s">
        <v>41</v>
      </c>
      <c r="H103" s="2">
        <v>0.81</v>
      </c>
      <c r="I103" s="2">
        <v>0.77</v>
      </c>
      <c r="J103" s="2">
        <v>0.71</v>
      </c>
    </row>
    <row r="104" spans="1:10" x14ac:dyDescent="0.3">
      <c r="A104" s="3" t="s">
        <v>11</v>
      </c>
      <c r="B104" t="s">
        <v>22</v>
      </c>
      <c r="C104" s="1">
        <v>457325333</v>
      </c>
      <c r="D104" s="1">
        <v>90181396</v>
      </c>
      <c r="E104" s="1">
        <v>505746077</v>
      </c>
      <c r="F104" t="s">
        <v>40</v>
      </c>
      <c r="G104" s="9" t="s">
        <v>42</v>
      </c>
      <c r="H104" s="2">
        <v>0.9</v>
      </c>
      <c r="I104" s="2">
        <v>0.89</v>
      </c>
      <c r="J104" s="2">
        <v>0.75</v>
      </c>
    </row>
    <row r="105" spans="1:10" x14ac:dyDescent="0.3">
      <c r="A105" s="3" t="s">
        <v>18</v>
      </c>
      <c r="B105" t="s">
        <v>25</v>
      </c>
      <c r="C105" s="1">
        <v>1085013351</v>
      </c>
      <c r="D105" s="1">
        <v>129856618</v>
      </c>
      <c r="E105" s="1">
        <v>1475024849</v>
      </c>
      <c r="F105" t="s">
        <v>37</v>
      </c>
      <c r="G105" s="9" t="s">
        <v>44</v>
      </c>
      <c r="H105" s="2">
        <v>0.74</v>
      </c>
      <c r="I105" s="2">
        <v>0.44</v>
      </c>
      <c r="J105" s="2">
        <v>0.99</v>
      </c>
    </row>
    <row r="106" spans="1:10" x14ac:dyDescent="0.3">
      <c r="A106" s="3" t="s">
        <v>10</v>
      </c>
      <c r="B106" t="s">
        <v>30</v>
      </c>
      <c r="C106" s="1">
        <v>1070173543</v>
      </c>
      <c r="D106" s="1">
        <v>126513354</v>
      </c>
      <c r="E106" s="1">
        <v>1412978988</v>
      </c>
      <c r="F106" t="s">
        <v>39</v>
      </c>
      <c r="G106" s="9" t="s">
        <v>41</v>
      </c>
      <c r="H106" s="2">
        <v>0.76</v>
      </c>
      <c r="I106" s="2">
        <v>0.45</v>
      </c>
      <c r="J106" s="2">
        <v>1.05</v>
      </c>
    </row>
    <row r="107" spans="1:10" x14ac:dyDescent="0.3">
      <c r="A107" s="3" t="s">
        <v>12</v>
      </c>
      <c r="B107" t="s">
        <v>22</v>
      </c>
      <c r="C107" s="1">
        <v>938791974</v>
      </c>
      <c r="D107" s="1">
        <v>170069194</v>
      </c>
      <c r="E107" s="1">
        <v>856316468</v>
      </c>
      <c r="F107" t="s">
        <v>32</v>
      </c>
      <c r="G107" s="9" t="s">
        <v>43</v>
      </c>
      <c r="H107" s="2">
        <v>1.1000000000000001</v>
      </c>
      <c r="I107" s="2">
        <v>0.99</v>
      </c>
      <c r="J107" s="2">
        <v>1.06</v>
      </c>
    </row>
    <row r="108" spans="1:10" x14ac:dyDescent="0.3">
      <c r="A108" s="3" t="s">
        <v>21</v>
      </c>
      <c r="B108" t="s">
        <v>22</v>
      </c>
      <c r="C108" s="1">
        <v>1686134100</v>
      </c>
      <c r="D108" s="1">
        <v>250266895</v>
      </c>
      <c r="E108" s="1">
        <v>1978924731</v>
      </c>
      <c r="F108" t="s">
        <v>38</v>
      </c>
      <c r="G108" s="9" t="s">
        <v>42</v>
      </c>
      <c r="H108" s="2">
        <v>0.85</v>
      </c>
      <c r="I108" s="2">
        <v>0.63</v>
      </c>
      <c r="J108" s="2">
        <v>0.85</v>
      </c>
    </row>
    <row r="109" spans="1:10" x14ac:dyDescent="0.3">
      <c r="A109" s="3" t="s">
        <v>21</v>
      </c>
      <c r="B109" t="s">
        <v>31</v>
      </c>
      <c r="C109" s="1">
        <v>1284553048</v>
      </c>
      <c r="D109" s="1">
        <v>197108079</v>
      </c>
      <c r="E109" s="1">
        <v>1784273955</v>
      </c>
      <c r="F109" t="s">
        <v>36</v>
      </c>
      <c r="G109" s="9" t="s">
        <v>42</v>
      </c>
      <c r="H109" s="2">
        <v>0.72</v>
      </c>
      <c r="I109" s="2">
        <v>0.55000000000000004</v>
      </c>
      <c r="J109" s="2">
        <v>0.9</v>
      </c>
    </row>
    <row r="110" spans="1:10" x14ac:dyDescent="0.3">
      <c r="A110" s="3" t="s">
        <v>16</v>
      </c>
      <c r="B110" t="s">
        <v>22</v>
      </c>
      <c r="C110" s="1">
        <v>2177873680</v>
      </c>
      <c r="D110" s="1">
        <v>387190764</v>
      </c>
      <c r="E110" s="1">
        <v>1948044715</v>
      </c>
      <c r="F110" t="s">
        <v>39</v>
      </c>
      <c r="G110" s="9" t="s">
        <v>43</v>
      </c>
      <c r="H110" s="2">
        <v>1.1200000000000001</v>
      </c>
      <c r="I110" s="2">
        <v>0.99</v>
      </c>
      <c r="J110" s="2">
        <v>1.1000000000000001</v>
      </c>
    </row>
    <row r="111" spans="1:10" x14ac:dyDescent="0.3">
      <c r="A111" s="3" t="s">
        <v>10</v>
      </c>
      <c r="B111" t="s">
        <v>25</v>
      </c>
      <c r="C111" s="1">
        <v>819484394</v>
      </c>
      <c r="D111" s="1">
        <v>156322067</v>
      </c>
      <c r="E111" s="1">
        <v>876219229</v>
      </c>
      <c r="F111" t="s">
        <v>32</v>
      </c>
      <c r="G111" s="9" t="s">
        <v>41</v>
      </c>
      <c r="H111" s="2">
        <v>0.94</v>
      </c>
      <c r="I111" s="2">
        <v>0.89</v>
      </c>
      <c r="J111" s="2">
        <v>0.69</v>
      </c>
    </row>
    <row r="112" spans="1:10" x14ac:dyDescent="0.3">
      <c r="A112" s="3" t="s">
        <v>19</v>
      </c>
      <c r="B112" t="s">
        <v>24</v>
      </c>
      <c r="C112" s="1">
        <v>650708988</v>
      </c>
      <c r="D112" s="1">
        <v>97228400</v>
      </c>
      <c r="E112" s="1">
        <v>695941574</v>
      </c>
      <c r="F112" t="s">
        <v>38</v>
      </c>
      <c r="G112" s="9" t="s">
        <v>41</v>
      </c>
      <c r="H112" s="2">
        <v>0.94</v>
      </c>
      <c r="I112" s="2">
        <v>0.7</v>
      </c>
      <c r="J112" s="2">
        <v>0.93</v>
      </c>
    </row>
    <row r="113" spans="1:10" x14ac:dyDescent="0.3">
      <c r="A113" s="3" t="s">
        <v>12</v>
      </c>
      <c r="B113" t="s">
        <v>26</v>
      </c>
      <c r="C113" s="1">
        <v>1885662687</v>
      </c>
      <c r="D113" s="1">
        <v>363252553</v>
      </c>
      <c r="E113" s="1">
        <v>1989652869</v>
      </c>
      <c r="F113" t="s">
        <v>33</v>
      </c>
      <c r="G113" s="9" t="s">
        <v>43</v>
      </c>
      <c r="H113" s="2">
        <v>0.95</v>
      </c>
      <c r="I113" s="2">
        <v>0.91</v>
      </c>
      <c r="J113" s="2">
        <v>1</v>
      </c>
    </row>
    <row r="114" spans="1:10" x14ac:dyDescent="0.3">
      <c r="A114" s="3" t="s">
        <v>11</v>
      </c>
      <c r="B114" t="s">
        <v>29</v>
      </c>
      <c r="C114" s="1">
        <v>590742854</v>
      </c>
      <c r="D114" s="1">
        <v>79724613</v>
      </c>
      <c r="E114" s="1">
        <v>689106962</v>
      </c>
      <c r="F114" t="s">
        <v>38</v>
      </c>
      <c r="G114" s="9" t="s">
        <v>42</v>
      </c>
      <c r="H114" s="2">
        <v>0.86</v>
      </c>
      <c r="I114" s="2">
        <v>0.57999999999999996</v>
      </c>
      <c r="J114" s="2">
        <v>0.8</v>
      </c>
    </row>
    <row r="115" spans="1:10" x14ac:dyDescent="0.3">
      <c r="A115" s="3" t="s">
        <v>11</v>
      </c>
      <c r="B115" t="s">
        <v>29</v>
      </c>
      <c r="C115" s="1">
        <v>1352761250</v>
      </c>
      <c r="D115" s="1">
        <v>151359146</v>
      </c>
      <c r="E115" s="1">
        <v>1492086654</v>
      </c>
      <c r="F115" t="s">
        <v>34</v>
      </c>
      <c r="G115" s="9" t="s">
        <v>42</v>
      </c>
      <c r="H115" s="2">
        <v>0.91</v>
      </c>
      <c r="I115" s="2">
        <v>0.51</v>
      </c>
      <c r="J115" s="2">
        <v>0.91</v>
      </c>
    </row>
    <row r="116" spans="1:10" x14ac:dyDescent="0.3">
      <c r="A116" s="3" t="s">
        <v>21</v>
      </c>
      <c r="B116" t="s">
        <v>31</v>
      </c>
      <c r="C116" s="1">
        <v>781130869</v>
      </c>
      <c r="D116" s="1">
        <v>79888010</v>
      </c>
      <c r="E116" s="1">
        <v>937137994</v>
      </c>
      <c r="F116" t="s">
        <v>32</v>
      </c>
      <c r="G116" s="9" t="s">
        <v>42</v>
      </c>
      <c r="H116" s="2">
        <v>0.83</v>
      </c>
      <c r="I116" s="2">
        <v>0.43</v>
      </c>
      <c r="J116" s="2">
        <v>0.82</v>
      </c>
    </row>
    <row r="117" spans="1:10" x14ac:dyDescent="0.3">
      <c r="A117" s="3" t="s">
        <v>15</v>
      </c>
      <c r="B117" t="s">
        <v>31</v>
      </c>
      <c r="C117" s="1">
        <v>666850277</v>
      </c>
      <c r="D117" s="1">
        <v>122372482</v>
      </c>
      <c r="E117" s="1">
        <v>561996648</v>
      </c>
      <c r="F117" t="s">
        <v>36</v>
      </c>
      <c r="G117" s="9" t="s">
        <v>41</v>
      </c>
      <c r="H117" s="2">
        <v>1.19</v>
      </c>
      <c r="I117" s="2">
        <v>1.0900000000000001</v>
      </c>
      <c r="J117" s="2">
        <v>0.95</v>
      </c>
    </row>
    <row r="118" spans="1:10" x14ac:dyDescent="0.3">
      <c r="A118" s="3" t="s">
        <v>20</v>
      </c>
      <c r="B118" t="s">
        <v>27</v>
      </c>
      <c r="C118" s="1">
        <v>1524091740</v>
      </c>
      <c r="D118" s="1">
        <v>180146290</v>
      </c>
      <c r="E118" s="1">
        <v>1685950875</v>
      </c>
      <c r="F118" t="s">
        <v>32</v>
      </c>
      <c r="G118" s="9" t="s">
        <v>44</v>
      </c>
      <c r="H118" s="2">
        <v>0.9</v>
      </c>
      <c r="I118" s="2">
        <v>0.53</v>
      </c>
      <c r="J118" s="2">
        <v>0.83</v>
      </c>
    </row>
    <row r="119" spans="1:10" x14ac:dyDescent="0.3">
      <c r="A119" s="3" t="s">
        <v>14</v>
      </c>
      <c r="B119" t="s">
        <v>28</v>
      </c>
      <c r="C119" s="1">
        <v>1075427881</v>
      </c>
      <c r="D119" s="1">
        <v>136022519</v>
      </c>
      <c r="E119" s="1">
        <v>1126767927</v>
      </c>
      <c r="F119" t="s">
        <v>38</v>
      </c>
      <c r="G119" s="9" t="s">
        <v>43</v>
      </c>
      <c r="H119" s="2">
        <v>0.95</v>
      </c>
      <c r="I119" s="2">
        <v>0.6</v>
      </c>
      <c r="J119" s="2">
        <v>1.0900000000000001</v>
      </c>
    </row>
    <row r="120" spans="1:10" x14ac:dyDescent="0.3">
      <c r="A120" s="3" t="s">
        <v>18</v>
      </c>
      <c r="B120" t="s">
        <v>31</v>
      </c>
      <c r="C120" s="1">
        <v>722901908</v>
      </c>
      <c r="D120" s="1">
        <v>171123594</v>
      </c>
      <c r="E120" s="1">
        <v>810616256</v>
      </c>
      <c r="F120" t="s">
        <v>34</v>
      </c>
      <c r="G120" s="9" t="s">
        <v>44</v>
      </c>
      <c r="H120" s="2">
        <v>0.89</v>
      </c>
      <c r="I120" s="2">
        <v>1.06</v>
      </c>
      <c r="J120" s="2">
        <v>0.97</v>
      </c>
    </row>
    <row r="121" spans="1:10" x14ac:dyDescent="0.3">
      <c r="A121" s="3" t="s">
        <v>12</v>
      </c>
      <c r="B121" t="s">
        <v>22</v>
      </c>
      <c r="C121" s="1">
        <v>1210154624</v>
      </c>
      <c r="D121" s="1">
        <v>258866546</v>
      </c>
      <c r="E121" s="1">
        <v>1391082067</v>
      </c>
      <c r="F121" t="s">
        <v>37</v>
      </c>
      <c r="G121" s="9" t="s">
        <v>43</v>
      </c>
      <c r="H121" s="2">
        <v>0.87</v>
      </c>
      <c r="I121" s="2">
        <v>0.93</v>
      </c>
      <c r="J121" s="2">
        <v>1.01</v>
      </c>
    </row>
    <row r="122" spans="1:10" x14ac:dyDescent="0.3">
      <c r="A122" s="3" t="s">
        <v>20</v>
      </c>
      <c r="B122" t="s">
        <v>25</v>
      </c>
      <c r="C122" s="1">
        <v>756259232</v>
      </c>
      <c r="D122" s="1">
        <v>122769638</v>
      </c>
      <c r="E122" s="1">
        <v>819106225</v>
      </c>
      <c r="F122" t="s">
        <v>38</v>
      </c>
      <c r="G122" s="9" t="s">
        <v>44</v>
      </c>
      <c r="H122" s="2">
        <v>0.92</v>
      </c>
      <c r="I122" s="2">
        <v>0.75</v>
      </c>
      <c r="J122" s="2">
        <v>0.88</v>
      </c>
    </row>
    <row r="123" spans="1:10" x14ac:dyDescent="0.3">
      <c r="A123" s="3" t="s">
        <v>11</v>
      </c>
      <c r="B123" t="s">
        <v>24</v>
      </c>
      <c r="C123" s="1">
        <v>1351560964</v>
      </c>
      <c r="D123" s="1">
        <v>333472917</v>
      </c>
      <c r="E123" s="1">
        <v>1191011599</v>
      </c>
      <c r="F123" t="s">
        <v>38</v>
      </c>
      <c r="G123" s="9" t="s">
        <v>42</v>
      </c>
      <c r="H123" s="2">
        <v>1.1299999999999999</v>
      </c>
      <c r="I123" s="2">
        <v>1.4</v>
      </c>
      <c r="J123" s="2">
        <v>0.88</v>
      </c>
    </row>
    <row r="124" spans="1:10" x14ac:dyDescent="0.3">
      <c r="A124" s="3" t="s">
        <v>18</v>
      </c>
      <c r="B124" t="s">
        <v>24</v>
      </c>
      <c r="C124" s="1">
        <v>1268891704</v>
      </c>
      <c r="D124" s="1">
        <v>253637163</v>
      </c>
      <c r="E124" s="1">
        <v>1183278460</v>
      </c>
      <c r="F124" t="s">
        <v>32</v>
      </c>
      <c r="G124" s="9" t="s">
        <v>44</v>
      </c>
      <c r="H124" s="2">
        <v>1.07</v>
      </c>
      <c r="I124" s="2">
        <v>1.07</v>
      </c>
      <c r="J124" s="2">
        <v>0.79</v>
      </c>
    </row>
    <row r="125" spans="1:10" x14ac:dyDescent="0.3">
      <c r="A125" s="3" t="s">
        <v>10</v>
      </c>
      <c r="B125" t="s">
        <v>28</v>
      </c>
      <c r="C125" s="1">
        <v>442229105</v>
      </c>
      <c r="D125" s="1">
        <v>107952595</v>
      </c>
      <c r="E125" s="1">
        <v>579499016</v>
      </c>
      <c r="F125" t="s">
        <v>38</v>
      </c>
      <c r="G125" s="9" t="s">
        <v>41</v>
      </c>
      <c r="H125" s="2">
        <v>0.76</v>
      </c>
      <c r="I125" s="2">
        <v>0.93</v>
      </c>
      <c r="J125" s="2">
        <v>1.03</v>
      </c>
    </row>
    <row r="126" spans="1:10" x14ac:dyDescent="0.3">
      <c r="A126" s="3" t="s">
        <v>21</v>
      </c>
      <c r="B126" t="s">
        <v>22</v>
      </c>
      <c r="C126" s="1">
        <v>1048238686</v>
      </c>
      <c r="D126" s="1">
        <v>109547673</v>
      </c>
      <c r="E126" s="1">
        <v>1481245579</v>
      </c>
      <c r="F126" t="s">
        <v>34</v>
      </c>
      <c r="G126" s="9" t="s">
        <v>42</v>
      </c>
      <c r="H126" s="2">
        <v>0.71</v>
      </c>
      <c r="I126" s="2">
        <v>0.37</v>
      </c>
      <c r="J126" s="2">
        <v>1.08</v>
      </c>
    </row>
    <row r="127" spans="1:10" x14ac:dyDescent="0.3">
      <c r="A127" s="3" t="s">
        <v>14</v>
      </c>
      <c r="B127" t="s">
        <v>31</v>
      </c>
      <c r="C127" s="1">
        <v>1241324990</v>
      </c>
      <c r="D127" s="1">
        <v>183185016</v>
      </c>
      <c r="E127" s="1">
        <v>1227054712</v>
      </c>
      <c r="F127" t="s">
        <v>37</v>
      </c>
      <c r="G127" s="9" t="s">
        <v>43</v>
      </c>
      <c r="H127" s="2">
        <v>1.01</v>
      </c>
      <c r="I127" s="2">
        <v>0.75</v>
      </c>
      <c r="J127" s="2">
        <v>1.02</v>
      </c>
    </row>
    <row r="128" spans="1:10" x14ac:dyDescent="0.3">
      <c r="A128" s="3" t="s">
        <v>10</v>
      </c>
      <c r="B128" t="s">
        <v>27</v>
      </c>
      <c r="C128" s="1">
        <v>1195836494</v>
      </c>
      <c r="D128" s="1">
        <v>276076285</v>
      </c>
      <c r="E128" s="1">
        <v>1180024649</v>
      </c>
      <c r="F128" t="s">
        <v>33</v>
      </c>
      <c r="G128" s="9" t="s">
        <v>41</v>
      </c>
      <c r="H128" s="2">
        <v>1.01</v>
      </c>
      <c r="I128" s="2">
        <v>1.17</v>
      </c>
      <c r="J128" s="2">
        <v>1.04</v>
      </c>
    </row>
    <row r="129" spans="1:10" x14ac:dyDescent="0.3">
      <c r="A129" s="3" t="s">
        <v>16</v>
      </c>
      <c r="B129" t="s">
        <v>30</v>
      </c>
      <c r="C129" s="1">
        <v>1019810667</v>
      </c>
      <c r="D129" s="1">
        <v>241244317</v>
      </c>
      <c r="E129" s="1">
        <v>1004165262</v>
      </c>
      <c r="F129" t="s">
        <v>36</v>
      </c>
      <c r="G129" s="9" t="s">
        <v>43</v>
      </c>
      <c r="H129" s="2">
        <v>1.02</v>
      </c>
      <c r="I129" s="2">
        <v>1.2</v>
      </c>
      <c r="J129" s="2">
        <v>0.97</v>
      </c>
    </row>
    <row r="130" spans="1:10" x14ac:dyDescent="0.3">
      <c r="A130" s="3" t="s">
        <v>13</v>
      </c>
      <c r="B130" t="s">
        <v>22</v>
      </c>
      <c r="C130" s="1">
        <v>1137801454</v>
      </c>
      <c r="D130" s="1">
        <v>148948716</v>
      </c>
      <c r="E130" s="1">
        <v>1452792433</v>
      </c>
      <c r="F130" t="s">
        <v>36</v>
      </c>
      <c r="G130" s="9" t="s">
        <v>42</v>
      </c>
      <c r="H130" s="2">
        <v>0.78</v>
      </c>
      <c r="I130" s="2">
        <v>0.51</v>
      </c>
      <c r="J130" s="2">
        <v>0.62</v>
      </c>
    </row>
    <row r="131" spans="1:10" x14ac:dyDescent="0.3">
      <c r="A131" s="3" t="s">
        <v>16</v>
      </c>
      <c r="B131" t="s">
        <v>25</v>
      </c>
      <c r="C131" s="1">
        <v>1194491191</v>
      </c>
      <c r="D131" s="1">
        <v>145146881</v>
      </c>
      <c r="E131" s="1">
        <v>1304965109</v>
      </c>
      <c r="F131" t="s">
        <v>35</v>
      </c>
      <c r="G131" s="9" t="s">
        <v>43</v>
      </c>
      <c r="H131" s="2">
        <v>0.92</v>
      </c>
      <c r="I131" s="2">
        <v>0.56000000000000005</v>
      </c>
      <c r="J131" s="2">
        <v>0.88</v>
      </c>
    </row>
    <row r="132" spans="1:10" x14ac:dyDescent="0.3">
      <c r="A132" s="3" t="s">
        <v>12</v>
      </c>
      <c r="B132" t="s">
        <v>28</v>
      </c>
      <c r="C132" s="1">
        <v>672761006</v>
      </c>
      <c r="D132" s="1">
        <v>97572231</v>
      </c>
      <c r="E132" s="1">
        <v>669583236</v>
      </c>
      <c r="F132" t="s">
        <v>40</v>
      </c>
      <c r="G132" s="9" t="s">
        <v>43</v>
      </c>
      <c r="H132" s="2">
        <v>1</v>
      </c>
      <c r="I132" s="2">
        <v>0.73</v>
      </c>
      <c r="J132" s="2">
        <v>0.72</v>
      </c>
    </row>
    <row r="133" spans="1:10" x14ac:dyDescent="0.3">
      <c r="A133" s="3" t="s">
        <v>19</v>
      </c>
      <c r="B133" t="s">
        <v>28</v>
      </c>
      <c r="C133" s="1">
        <v>1518556762</v>
      </c>
      <c r="D133" s="1">
        <v>240124802</v>
      </c>
      <c r="E133" s="1">
        <v>1490311901</v>
      </c>
      <c r="F133" t="s">
        <v>39</v>
      </c>
      <c r="G133" s="9" t="s">
        <v>41</v>
      </c>
      <c r="H133" s="2">
        <v>1.02</v>
      </c>
      <c r="I133" s="2">
        <v>0.81</v>
      </c>
      <c r="J133" s="2">
        <v>0.6</v>
      </c>
    </row>
    <row r="134" spans="1:10" x14ac:dyDescent="0.3">
      <c r="A134" s="3" t="s">
        <v>21</v>
      </c>
      <c r="B134" t="s">
        <v>25</v>
      </c>
      <c r="C134" s="1">
        <v>618469353</v>
      </c>
      <c r="D134" s="1">
        <v>148859424</v>
      </c>
      <c r="E134" s="1">
        <v>839250073</v>
      </c>
      <c r="F134" t="s">
        <v>34</v>
      </c>
      <c r="G134" s="9" t="s">
        <v>42</v>
      </c>
      <c r="H134" s="2">
        <v>0.74</v>
      </c>
      <c r="I134" s="2">
        <v>0.89</v>
      </c>
      <c r="J134" s="2">
        <v>0.75</v>
      </c>
    </row>
    <row r="135" spans="1:10" x14ac:dyDescent="0.3">
      <c r="A135" s="3" t="s">
        <v>13</v>
      </c>
      <c r="B135" t="s">
        <v>25</v>
      </c>
      <c r="C135" s="1">
        <v>918591318</v>
      </c>
      <c r="D135" s="1">
        <v>133561204</v>
      </c>
      <c r="E135" s="1">
        <v>1148801344</v>
      </c>
      <c r="F135" t="s">
        <v>38</v>
      </c>
      <c r="G135" s="9" t="s">
        <v>42</v>
      </c>
      <c r="H135" s="2">
        <v>0.8</v>
      </c>
      <c r="I135" s="2">
        <v>0.57999999999999996</v>
      </c>
      <c r="J135" s="2">
        <v>0.65</v>
      </c>
    </row>
    <row r="136" spans="1:10" x14ac:dyDescent="0.3">
      <c r="A136" s="3" t="s">
        <v>13</v>
      </c>
      <c r="B136" t="s">
        <v>30</v>
      </c>
      <c r="C136" s="1">
        <v>1470659883</v>
      </c>
      <c r="D136" s="1">
        <v>292481077</v>
      </c>
      <c r="E136" s="1">
        <v>1734399230</v>
      </c>
      <c r="F136" t="s">
        <v>35</v>
      </c>
      <c r="G136" s="9" t="s">
        <v>42</v>
      </c>
      <c r="H136" s="2">
        <v>0.85</v>
      </c>
      <c r="I136" s="2">
        <v>0.84</v>
      </c>
      <c r="J136" s="2">
        <v>1.0900000000000001</v>
      </c>
    </row>
    <row r="137" spans="1:10" x14ac:dyDescent="0.3">
      <c r="A137" s="3" t="s">
        <v>10</v>
      </c>
      <c r="B137" t="s">
        <v>24</v>
      </c>
      <c r="C137" s="1">
        <v>508576252</v>
      </c>
      <c r="D137" s="1">
        <v>99978927</v>
      </c>
      <c r="E137" s="1">
        <v>517390250</v>
      </c>
      <c r="F137" t="s">
        <v>37</v>
      </c>
      <c r="G137" s="9" t="s">
        <v>41</v>
      </c>
      <c r="H137" s="2">
        <v>0.98</v>
      </c>
      <c r="I137" s="2">
        <v>0.97</v>
      </c>
      <c r="J137" s="2">
        <v>1.0900000000000001</v>
      </c>
    </row>
    <row r="138" spans="1:10" x14ac:dyDescent="0.3">
      <c r="A138" s="3" t="s">
        <v>19</v>
      </c>
      <c r="B138" t="s">
        <v>31</v>
      </c>
      <c r="C138" s="1">
        <v>997687410</v>
      </c>
      <c r="D138" s="1">
        <v>139571043</v>
      </c>
      <c r="E138" s="1">
        <v>994175487</v>
      </c>
      <c r="F138" t="s">
        <v>37</v>
      </c>
      <c r="G138" s="9" t="s">
        <v>41</v>
      </c>
      <c r="H138" s="2">
        <v>1</v>
      </c>
      <c r="I138" s="2">
        <v>0.7</v>
      </c>
      <c r="J138" s="2">
        <v>0.69</v>
      </c>
    </row>
    <row r="139" spans="1:10" x14ac:dyDescent="0.3">
      <c r="A139" s="3" t="s">
        <v>20</v>
      </c>
      <c r="B139" t="s">
        <v>28</v>
      </c>
      <c r="C139" s="1">
        <v>1890262146</v>
      </c>
      <c r="D139" s="1">
        <v>250494874</v>
      </c>
      <c r="E139" s="1">
        <v>1847456028</v>
      </c>
      <c r="F139" t="s">
        <v>36</v>
      </c>
      <c r="G139" s="9" t="s">
        <v>44</v>
      </c>
      <c r="H139" s="2">
        <v>1.02</v>
      </c>
      <c r="I139" s="2">
        <v>0.68</v>
      </c>
      <c r="J139" s="2">
        <v>0.61</v>
      </c>
    </row>
    <row r="140" spans="1:10" x14ac:dyDescent="0.3">
      <c r="A140" s="3" t="s">
        <v>17</v>
      </c>
      <c r="B140" t="s">
        <v>28</v>
      </c>
      <c r="C140" s="1">
        <v>978829482</v>
      </c>
      <c r="D140" s="1">
        <v>147446493</v>
      </c>
      <c r="E140" s="1">
        <v>1133744878</v>
      </c>
      <c r="F140" t="s">
        <v>36</v>
      </c>
      <c r="G140" s="9" t="s">
        <v>44</v>
      </c>
      <c r="H140" s="2">
        <v>0.86</v>
      </c>
      <c r="I140" s="2">
        <v>0.65</v>
      </c>
      <c r="J140" s="2">
        <v>0.66</v>
      </c>
    </row>
    <row r="141" spans="1:10" x14ac:dyDescent="0.3">
      <c r="A141" s="3" t="s">
        <v>11</v>
      </c>
      <c r="B141" t="s">
        <v>26</v>
      </c>
      <c r="C141" s="1">
        <v>1824873952</v>
      </c>
      <c r="D141" s="1">
        <v>403626250</v>
      </c>
      <c r="E141" s="1">
        <v>1577596047</v>
      </c>
      <c r="F141" t="s">
        <v>34</v>
      </c>
      <c r="G141" s="9" t="s">
        <v>42</v>
      </c>
      <c r="H141" s="2">
        <v>1.1599999999999999</v>
      </c>
      <c r="I141" s="2">
        <v>1.28</v>
      </c>
      <c r="J141" s="2">
        <v>1.05</v>
      </c>
    </row>
    <row r="142" spans="1:10" x14ac:dyDescent="0.3">
      <c r="A142" s="3" t="s">
        <v>21</v>
      </c>
      <c r="B142" t="s">
        <v>25</v>
      </c>
      <c r="C142" s="1">
        <v>698125438</v>
      </c>
      <c r="D142" s="1">
        <v>64786662</v>
      </c>
      <c r="E142" s="1">
        <v>747325065</v>
      </c>
      <c r="F142" t="s">
        <v>35</v>
      </c>
      <c r="G142" s="9" t="s">
        <v>42</v>
      </c>
      <c r="H142" s="2">
        <v>0.93</v>
      </c>
      <c r="I142" s="2">
        <v>0.43</v>
      </c>
      <c r="J142" s="2">
        <v>1.08</v>
      </c>
    </row>
    <row r="143" spans="1:10" x14ac:dyDescent="0.3">
      <c r="A143" s="3" t="s">
        <v>10</v>
      </c>
      <c r="B143" t="s">
        <v>24</v>
      </c>
      <c r="C143" s="1">
        <v>957889154</v>
      </c>
      <c r="D143" s="1">
        <v>140884109</v>
      </c>
      <c r="E143" s="1">
        <v>1285495949</v>
      </c>
      <c r="F143" t="s">
        <v>34</v>
      </c>
      <c r="G143" s="9" t="s">
        <v>41</v>
      </c>
      <c r="H143" s="2">
        <v>0.75</v>
      </c>
      <c r="I143" s="2">
        <v>0.55000000000000004</v>
      </c>
      <c r="J143" s="2">
        <v>0.87</v>
      </c>
    </row>
    <row r="144" spans="1:10" x14ac:dyDescent="0.3">
      <c r="A144" s="3" t="s">
        <v>21</v>
      </c>
      <c r="B144" t="s">
        <v>26</v>
      </c>
      <c r="C144" s="1">
        <v>1563146634</v>
      </c>
      <c r="D144" s="1">
        <v>294736574</v>
      </c>
      <c r="E144" s="1">
        <v>1755333245</v>
      </c>
      <c r="F144" t="s">
        <v>37</v>
      </c>
      <c r="G144" s="9" t="s">
        <v>42</v>
      </c>
      <c r="H144" s="2">
        <v>0.89</v>
      </c>
      <c r="I144" s="2">
        <v>0.84</v>
      </c>
      <c r="J144" s="2">
        <v>0.65</v>
      </c>
    </row>
    <row r="145" spans="1:10" x14ac:dyDescent="0.3">
      <c r="A145" s="3" t="s">
        <v>18</v>
      </c>
      <c r="B145" t="s">
        <v>31</v>
      </c>
      <c r="C145" s="1">
        <v>2090607970</v>
      </c>
      <c r="D145" s="1">
        <v>366774704</v>
      </c>
      <c r="E145" s="1">
        <v>1830466753</v>
      </c>
      <c r="F145" t="s">
        <v>32</v>
      </c>
      <c r="G145" s="9" t="s">
        <v>44</v>
      </c>
      <c r="H145" s="2">
        <v>1.1399999999999999</v>
      </c>
      <c r="I145" s="2">
        <v>1</v>
      </c>
      <c r="J145" s="2">
        <v>0.71</v>
      </c>
    </row>
    <row r="146" spans="1:10" x14ac:dyDescent="0.3">
      <c r="A146" s="3" t="s">
        <v>14</v>
      </c>
      <c r="B146" t="s">
        <v>31</v>
      </c>
      <c r="C146" s="1">
        <v>1712665124</v>
      </c>
      <c r="D146" s="1">
        <v>177709716</v>
      </c>
      <c r="E146" s="1">
        <v>1894231100</v>
      </c>
      <c r="F146" t="s">
        <v>37</v>
      </c>
      <c r="G146" s="9" t="s">
        <v>43</v>
      </c>
      <c r="H146" s="2">
        <v>0.9</v>
      </c>
      <c r="I146" s="2">
        <v>0.47</v>
      </c>
      <c r="J146" s="2">
        <v>0.74</v>
      </c>
    </row>
    <row r="147" spans="1:10" x14ac:dyDescent="0.3">
      <c r="A147" s="3" t="s">
        <v>21</v>
      </c>
      <c r="B147" t="s">
        <v>22</v>
      </c>
      <c r="C147" s="1">
        <v>1148466317</v>
      </c>
      <c r="D147" s="1">
        <v>118364255</v>
      </c>
      <c r="E147" s="1">
        <v>1004229222</v>
      </c>
      <c r="F147" t="s">
        <v>36</v>
      </c>
      <c r="G147" s="9" t="s">
        <v>42</v>
      </c>
      <c r="H147" s="2">
        <v>1.1399999999999999</v>
      </c>
      <c r="I147" s="2">
        <v>0.59</v>
      </c>
      <c r="J147" s="2">
        <v>0.78</v>
      </c>
    </row>
    <row r="148" spans="1:10" x14ac:dyDescent="0.3">
      <c r="A148" s="3" t="s">
        <v>15</v>
      </c>
      <c r="B148" t="s">
        <v>27</v>
      </c>
      <c r="C148" s="1">
        <v>1886593268</v>
      </c>
      <c r="D148" s="1">
        <v>200486178</v>
      </c>
      <c r="E148" s="1">
        <v>1761303791</v>
      </c>
      <c r="F148" t="s">
        <v>33</v>
      </c>
      <c r="G148" s="9" t="s">
        <v>41</v>
      </c>
      <c r="H148" s="2">
        <v>1.07</v>
      </c>
      <c r="I148" s="2">
        <v>0.56999999999999995</v>
      </c>
      <c r="J148" s="2">
        <v>0.93</v>
      </c>
    </row>
    <row r="149" spans="1:10" x14ac:dyDescent="0.3">
      <c r="A149" s="3" t="s">
        <v>21</v>
      </c>
      <c r="B149" t="s">
        <v>30</v>
      </c>
      <c r="C149" s="1">
        <v>788522192</v>
      </c>
      <c r="D149" s="1">
        <v>112750861</v>
      </c>
      <c r="E149" s="1">
        <v>1100737389</v>
      </c>
      <c r="F149" t="s">
        <v>33</v>
      </c>
      <c r="G149" s="9" t="s">
        <v>42</v>
      </c>
      <c r="H149" s="2">
        <v>0.72</v>
      </c>
      <c r="I149" s="2">
        <v>0.51</v>
      </c>
      <c r="J149" s="2">
        <v>0.82</v>
      </c>
    </row>
    <row r="150" spans="1:10" x14ac:dyDescent="0.3">
      <c r="A150" s="3" t="s">
        <v>18</v>
      </c>
      <c r="B150" t="s">
        <v>26</v>
      </c>
      <c r="C150" s="1">
        <v>1743022754</v>
      </c>
      <c r="D150" s="1">
        <v>406626912</v>
      </c>
      <c r="E150" s="1">
        <v>1972487158</v>
      </c>
      <c r="F150" t="s">
        <v>36</v>
      </c>
      <c r="G150" s="9" t="s">
        <v>44</v>
      </c>
      <c r="H150" s="2">
        <v>0.88</v>
      </c>
      <c r="I150" s="2">
        <v>1.03</v>
      </c>
      <c r="J150" s="2">
        <v>0.78</v>
      </c>
    </row>
    <row r="151" spans="1:10" x14ac:dyDescent="0.3">
      <c r="A151" s="3" t="s">
        <v>13</v>
      </c>
      <c r="B151" t="s">
        <v>25</v>
      </c>
      <c r="C151" s="1">
        <v>895367741</v>
      </c>
      <c r="D151" s="1">
        <v>197081617</v>
      </c>
      <c r="E151" s="1">
        <v>762335998</v>
      </c>
      <c r="F151" t="s">
        <v>39</v>
      </c>
      <c r="G151" s="9" t="s">
        <v>42</v>
      </c>
      <c r="H151" s="2">
        <v>1.17</v>
      </c>
      <c r="I151" s="2">
        <v>1.29</v>
      </c>
      <c r="J151" s="2">
        <v>0.93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4E99-16A0-45FF-B85D-71E51E2D7D1E}">
  <dimension ref="A1"/>
  <sheetViews>
    <sheetView showGridLines="0" rightToLeft="1" tabSelected="1" zoomScale="93" zoomScaleNormal="75" workbookViewId="0">
      <selection activeCell="L32" sqref="L32"/>
    </sheetView>
  </sheetViews>
  <sheetFormatPr defaultRowHeight="14.4" x14ac:dyDescent="0.3"/>
  <cols>
    <col min="1" max="16384" width="8.88671875" style="1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انالیز ها</vt:lpstr>
      <vt:lpstr>داده ها</vt:lpstr>
      <vt:lpstr>داشبورد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Aylin Asadpoor</dc:creator>
  <cp:lastModifiedBy>Aylin Asadpoor</cp:lastModifiedBy>
  <dcterms:created xsi:type="dcterms:W3CDTF">2025-07-22T10:44:10Z</dcterms:created>
  <dcterms:modified xsi:type="dcterms:W3CDTF">2025-07-22T12:11:29Z</dcterms:modified>
</cp:coreProperties>
</file>